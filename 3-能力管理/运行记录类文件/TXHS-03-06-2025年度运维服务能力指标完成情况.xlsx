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<sst xmlns="http://schemas.openxmlformats.org/spreadsheetml/2006/main" count="461" uniqueCount="100">
  <si>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</si>
  <si>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</si>
  <si>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</si>
  <si>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</si>
  <si>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</si>
  <si>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</si>
  <si>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</si>
  <si>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</si>
  <si>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</si>
  <si>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</si>
  <si>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</si>
  <si>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</si>
  <si>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</si>
  <si>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</si>
  <si>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</si>
  <si>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r>
      <rPr>
        <sz val="10.5"/>
        <color rgb="FF0F1115"/>
        <rFont val="Consolas"/>
        <charset val="134"/>
      </rPr>
      <t>0</t>
    </r>
    <r>
      <rPr>
        <sz val="10.5"/>
        <color rgb="FF0F1115"/>
        <rFont val="宋体"/>
        <charset val="134"/>
      </rPr>
      <t>次</t>
    </r>
  </si>
  <si>
    <t>内审次数</t>
  </si>
  <si>
    <t>≥1次</t>
  </si>
  <si>
    <t>1次</t>
  </si>
  <si>
    <r>
      <rPr>
        <sz val="10.5"/>
        <color rgb="FF0F1115"/>
        <rFont val="Consolas"/>
        <charset val="134"/>
      </rPr>
      <t>1</t>
    </r>
    <r>
      <rPr>
        <sz val="10.5"/>
        <color rgb="FF0F1115"/>
        <rFont val="宋体"/>
        <charset val="134"/>
      </rPr>
      <t>次</t>
    </r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</si>
  <si>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</si>
  <si>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</si>
  <si>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</si>
  <si>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</si>
  <si>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</si>
  <si>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</si>
  <si>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</si>
  <si>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</si>
  <si>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</si>
  <si>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</si>
  <si>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</si>
  <si>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</si>
  <si>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</si>
  <si>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</si>
  <si>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</si>
  <si>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</si>
  <si>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</si>
  <si>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</si>
  <si>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</si>
  <si>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</si>
  <si>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</si>
  <si>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</si>
  <si>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</si>
  <si>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</si>
  <si>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</si>
  <si>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</si>
  <si>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</si>
  <si>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</si>
  <si>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</si>
  <si>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</si>
  <si>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</si>
  <si>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</si>
  <si>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</si>
  <si>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</si>
  <si>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</si>
  <si>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</si>
  <si>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</si>
  <si>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</si>
  <si>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</si>
  <si>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</si>
  <si>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</si>
  <si>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</si>
  <si>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</si>
  <si>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</si>
  <si>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</si>
  <si>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</si>
  <si>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</si>
  <si>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</si>
  <si>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</si>
  <si>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</si>
  <si>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</si>
  <si>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</si>
  <si>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</si>
  <si>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</si>
  <si>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</si>
  <si>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</si>
  <si>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</si>
  <si>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</si>
  <si>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</si>
  <si>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</si>
  <si>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</si>
  <si>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</si>
  <si>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</si>
  <si>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</si>
  <si>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12条</t>
  </si>
  <si>
    <t>18条</t>
  </si>
  <si>
    <r>
      <rPr>
        <sz val="10.5"/>
        <color rgb="FF0F1115"/>
        <rFont val="Consolas"/>
        <charset val="134"/>
      </rPr>
      <t>15</t>
    </r>
    <r>
      <rPr>
        <sz val="10.5"/>
        <color rgb="FF0F1115"/>
        <rFont val="宋体"/>
        <charset val="134"/>
      </rPr>
      <t>条</t>
    </r>
  </si>
  <si>
    <t>最终软件库</t>
  </si>
  <si>
    <t>软件合规性审计次数</t>
  </si>
  <si>
    <t>服务数据</t>
  </si>
  <si>
    <t>服务数据分析利用次数</t>
  </si>
  <si>
    <t>3次</t>
  </si>
  <si>
    <t>4次</t>
  </si>
  <si>
    <r>
      <rPr>
        <sz val="10.5"/>
        <color rgb="FF0F1115"/>
        <rFont val="Consolas"/>
        <charset val="134"/>
      </rPr>
      <t>2</t>
    </r>
    <r>
      <rPr>
        <sz val="10.5"/>
        <color rgb="FF0F1115"/>
        <rFont val="宋体"/>
        <charset val="134"/>
      </rPr>
      <t>次</t>
    </r>
  </si>
  <si>
    <r>
      <rPr>
        <sz val="10.5"/>
        <color rgb="FF0F1115"/>
        <rFont val="Consolas"/>
        <charset val="134"/>
      </rPr>
      <t>3</t>
    </r>
    <r>
      <rPr>
        <sz val="10.5"/>
        <color rgb="FF0F1115"/>
        <rFont val="宋体"/>
        <charset val="134"/>
      </rPr>
      <t>次</t>
    </r>
  </si>
  <si>
    <t>交付</t>
  </si>
  <si>
    <t>项目及时交付率</t>
  </si>
  <si>
    <t>应急</t>
  </si>
  <si>
    <t>项目应急演练次数</t>
  </si>
  <si>
    <t>说明：针对10月份变更成功率不达标现象，进行以下改进
1.对相关运维人员进行培训，学习变更管理制度
2.后期质量管理人员对此进行抽查，杜绝此类事件再次发生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</si>
</sst>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0.5"/>
      <color rgb="FF0F1115"/>
      <name val="Consolas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F111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6" fillId="0" borderId="0">
      <alignment vertical="center"/>
    </xf>
    <xf numFmtId="43" fontId="7" fillId="0" borderId="0" applyFont="0" applyFill="0" applyBorder="0" applyProtection="0"/>
    <xf numFmtId="44" fontId="7" fillId="0" borderId="0" applyFont="0" applyFill="0" applyBorder="0" applyProtection="0"/>
    <xf numFmtId="9" fontId="7" fillId="0" borderId="0" applyFont="0" applyFill="0" applyBorder="0" applyProtection="0"/>
    <xf numFmtId="41" fontId="7" fillId="0" borderId="0" applyFont="0" applyFill="0" applyBorder="0" applyProtection="0"/>
    <xf numFmtId="42" fontId="7" fillId="0" borderId="0" applyFon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7" fillId="4" borderId="4" applyNumberFormat="0" applyFont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13" fillId="0" borderId="5" applyNumberFormat="0" applyFill="0" applyProtection="0"/>
    <xf numFmtId="0" fontId="14" fillId="0" borderId="5" applyNumberFormat="0" applyFill="0" applyProtection="0"/>
    <xf numFmtId="0" fontId="15" fillId="0" borderId="6" applyNumberFormat="0" applyFill="0" applyProtection="0"/>
    <xf numFmtId="0" fontId="15" fillId="0" borderId="0" applyNumberFormat="0" applyFill="0" applyBorder="0" applyProtection="0"/>
    <xf numFmtId="0" fontId="16" fillId="5" borderId="7" applyNumberFormat="0" applyProtection="0"/>
    <xf numFmtId="0" fontId="17" fillId="6" borderId="8" applyNumberFormat="0" applyProtection="0"/>
    <xf numFmtId="0" fontId="18" fillId="6" borderId="7" applyNumberFormat="0" applyProtection="0"/>
    <xf numFmtId="0" fontId="19" fillId="7" borderId="9" applyNumberFormat="0" applyProtection="0"/>
    <xf numFmtId="0" fontId="20" fillId="0" borderId="10" applyNumberFormat="0" applyFill="0" applyProtection="0"/>
    <xf numFmtId="0" fontId="21" fillId="0" borderId="11" applyNumberFormat="0" applyFill="0" applyProtection="0"/>
    <xf numFmtId="0" fontId="22" fillId="8" borderId="0" applyNumberFormat="0" applyBorder="0" applyProtection="0"/>
    <xf numFmtId="0" fontId="23" fillId="9" borderId="0" applyNumberFormat="0" applyBorder="0" applyProtection="0"/>
    <xf numFmtId="0" fontId="24" fillId="10" borderId="0" applyNumberFormat="0" applyBorder="0" applyProtection="0"/>
    <xf numFmtId="0" fontId="25" fillId="11" borderId="0" applyNumberFormat="0" applyBorder="0" applyProtection="0"/>
    <xf numFmtId="0" fontId="7" fillId="12" borderId="0" applyNumberFormat="0" applyBorder="0" applyProtection="0"/>
    <xf numFmtId="0" fontId="7" fillId="13" borderId="0" applyNumberFormat="0" applyBorder="0" applyProtection="0"/>
    <xf numFmtId="0" fontId="25" fillId="14" borderId="0" applyNumberFormat="0" applyBorder="0" applyProtection="0"/>
    <xf numFmtId="0" fontId="25" fillId="15" borderId="0" applyNumberFormat="0" applyBorder="0" applyProtection="0"/>
    <xf numFmtId="0" fontId="7" fillId="16" borderId="0" applyNumberFormat="0" applyBorder="0" applyProtection="0"/>
    <xf numFmtId="0" fontId="7" fillId="17" borderId="0" applyNumberFormat="0" applyBorder="0" applyProtection="0"/>
    <xf numFmtId="0" fontId="25" fillId="18" borderId="0" applyNumberFormat="0" applyBorder="0" applyProtection="0"/>
    <xf numFmtId="0" fontId="25" fillId="19" borderId="0" applyNumberFormat="0" applyBorder="0" applyProtection="0"/>
    <xf numFmtId="0" fontId="7" fillId="20" borderId="0" applyNumberFormat="0" applyBorder="0" applyProtection="0"/>
    <xf numFmtId="0" fontId="7" fillId="21" borderId="0" applyNumberFormat="0" applyBorder="0" applyProtection="0"/>
    <xf numFmtId="0" fontId="25" fillId="22" borderId="0" applyNumberFormat="0" applyBorder="0" applyProtection="0"/>
    <xf numFmtId="0" fontId="25" fillId="23" borderId="0" applyNumberFormat="0" applyBorder="0" applyProtection="0"/>
    <xf numFmtId="0" fontId="7" fillId="24" borderId="0" applyNumberFormat="0" applyBorder="0" applyProtection="0"/>
    <xf numFmtId="0" fontId="7" fillId="25" borderId="0" applyNumberFormat="0" applyBorder="0" applyProtection="0"/>
    <xf numFmtId="0" fontId="25" fillId="26" borderId="0" applyNumberFormat="0" applyBorder="0" applyProtection="0"/>
    <xf numFmtId="0" fontId="25" fillId="27" borderId="0" applyNumberFormat="0" applyBorder="0" applyProtection="0"/>
    <xf numFmtId="0" fontId="7" fillId="28" borderId="0" applyNumberFormat="0" applyBorder="0" applyProtection="0"/>
    <xf numFmtId="0" fontId="7" fillId="29" borderId="0" applyNumberFormat="0" applyBorder="0" applyProtection="0"/>
    <xf numFmtId="0" fontId="25" fillId="30" borderId="0" applyNumberFormat="0" applyBorder="0" applyProtection="0"/>
    <xf numFmtId="0" fontId="25" fillId="31" borderId="0" applyNumberFormat="0" applyBorder="0" applyProtection="0"/>
    <xf numFmtId="0" fontId="7" fillId="32" borderId="0" applyNumberFormat="0" applyBorder="0" applyProtection="0"/>
    <xf numFmtId="0" fontId="7" fillId="33" borderId="0" applyNumberFormat="0" applyBorder="0" applyProtection="0"/>
    <xf numFmtId="0" fontId="25" fillId="34" borderId="0" applyNumberFormat="0" applyBorder="0" applyProtection="0"/>
    <xf numFmtId="0" fontId="0" fillId="0" borderId="0">
      <alignment vertical="center"/>
    </xf>
    <xf numFmtId="9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</cellStyleXfs>
  <cellXfs count="21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2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vertical="center" wrapText="1"/>
    </xf>
    <xf numFmtId="0" fontId="0" fillId="0" borderId="1" xfId="49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9" fontId="0" fillId="0" borderId="1" xfId="49" applyNumberFormat="1" applyBorder="1" applyAlignment="1">
      <alignment horizontal="center" vertical="center"/>
    </xf>
    <xf numFmtId="176" fontId="0" fillId="0" borderId="1" xfId="49" applyNumberForma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9" fontId="3" fillId="0" borderId="1" xfId="49" applyNumberFormat="1" applyFont="1" applyBorder="1" applyAlignment="1">
      <alignment horizontal="center" vertical="center" wrapText="1"/>
    </xf>
    <xf numFmtId="9" fontId="4" fillId="0" borderId="1" xfId="49" applyNumberFormat="1" applyFont="1" applyBorder="1" applyAlignment="1">
      <alignment horizontal="center" vertical="center"/>
    </xf>
    <xf numFmtId="9" fontId="5" fillId="0" borderId="1" xfId="49" applyNumberFormat="1" applyFont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 applyProtection="1">
      <alignment horizontal="center" vertical="center"/>
    </xf>
    <xf numFmtId="9" fontId="2" fillId="0" borderId="1" xfId="49" applyNumberFormat="1" applyFont="1" applyFill="1" applyBorder="1" applyAlignment="1">
      <alignment horizontal="left" vertical="center" wrapText="1"/>
    </xf>
    <xf numFmtId="0" fontId="0" fillId="0" borderId="1" xfId="49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8"/>
  <sheetViews>
    <sheetView tabSelected="1" view="pageBreakPreview" zoomScaleNormal="90" workbookViewId="0">
      <pane ySplit="2" topLeftCell="A3" activePane="bottomLeft" state="frozen"/>
      <selection/>
      <selection pane="bottomLeft" activeCell="D4" sqref="D4"/>
    </sheetView>
  </sheetViews>
  <sheetFormatPr defaultColWidth="9" defaultRowHeight="14.4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962962962963" style="2" customWidth="1"/>
    <col min="6" max="6" width="6.75" style="2" customWidth="1"/>
    <col min="7" max="10" width="11.6296296296296" style="2" customWidth="1"/>
    <col min="11" max="15" width="11.6296296296296" style="2"/>
    <col min="16" max="17" width="12.8796296296296" style="2"/>
    <col min="18" max="18" width="12.8796296296296" style="1"/>
    <col min="19" max="19" width="9.5" style="1"/>
    <col min="20" max="16384" width="9" style="2"/>
  </cols>
  <sheetData>
    <row r="1" ht="24.75" customHeight="1" spans="1:19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6</v>
      </c>
    </row>
    <row r="2" ht="24.75" customHeight="1" spans="1:19">
      <c r="A2" s="3"/>
      <c r="B2" s="4"/>
      <c r="C2" s="4"/>
      <c r="D2" s="4"/>
      <c r="E2" s="4"/>
      <c r="F2" s="4"/>
      <c r="G2" s="6">
        <v>45658</v>
      </c>
      <c r="H2" s="6">
        <v>45689</v>
      </c>
      <c r="I2" s="6">
        <v>45717</v>
      </c>
      <c r="J2" s="6">
        <v>45748</v>
      </c>
      <c r="K2" s="6">
        <v>45778</v>
      </c>
      <c r="L2" s="6">
        <v>45809</v>
      </c>
      <c r="M2" s="6">
        <v>45839</v>
      </c>
      <c r="N2" s="6">
        <v>45870</v>
      </c>
      <c r="O2" s="6">
        <v>45901</v>
      </c>
      <c r="P2" s="6">
        <v>45931</v>
      </c>
      <c r="Q2" s="6">
        <v>45962</v>
      </c>
      <c r="R2" s="5">
        <v>45992</v>
      </c>
      <c r="S2" s="5"/>
    </row>
    <row r="3" ht="28.8" spans="1:19">
      <c r="A3" s="7">
        <f>ROW()-2</f>
        <v>1</v>
      </c>
      <c r="B3" s="8" t="s">
        <v>7</v>
      </c>
      <c r="C3" s="8"/>
      <c r="D3" s="9" t="s">
        <v>8</v>
      </c>
      <c r="E3" s="9" t="s">
        <v>9</v>
      </c>
      <c r="F3" s="9" t="s">
        <v>10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0">
        <v>0.97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1">
        <v>0.994</v>
      </c>
      <c r="S3" s="10">
        <f>SUM(R3+L3)/2</f>
        <v>0.982</v>
      </c>
    </row>
    <row r="4" spans="1:19">
      <c r="A4" s="7">
        <f t="shared" ref="A4:A13" si="0">ROW()-2</f>
        <v>2</v>
      </c>
      <c r="B4" s="8"/>
      <c r="C4" s="8"/>
      <c r="D4" s="9" t="s">
        <v>12</v>
      </c>
      <c r="E4" s="9" t="s">
        <v>13</v>
      </c>
      <c r="F4" s="9" t="s">
        <v>14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2" t="s">
        <v>15</v>
      </c>
      <c r="S4" s="12" t="s">
        <v>15</v>
      </c>
    </row>
    <row r="5" spans="1:19">
      <c r="A5" s="7">
        <f t="shared" si="0"/>
        <v>3</v>
      </c>
      <c r="B5" s="8"/>
      <c r="C5" s="8"/>
      <c r="D5" s="9" t="s">
        <v>16</v>
      </c>
      <c r="E5" s="9" t="s">
        <v>17</v>
      </c>
      <c r="F5" s="9" t="s">
        <v>14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18</v>
      </c>
      <c r="S5" s="12" t="s">
        <v>19</v>
      </c>
    </row>
    <row r="6" spans="1:19">
      <c r="A6" s="7">
        <f t="shared" si="0"/>
        <v>4</v>
      </c>
      <c r="B6" s="8"/>
      <c r="C6" s="8"/>
      <c r="D6" s="9" t="s">
        <v>20</v>
      </c>
      <c r="E6" s="9" t="s">
        <v>17</v>
      </c>
      <c r="F6" s="9" t="s">
        <v>14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18</v>
      </c>
      <c r="S6" s="12" t="s">
        <v>19</v>
      </c>
    </row>
    <row r="7" spans="1:19">
      <c r="A7" s="7">
        <f t="shared" si="0"/>
        <v>5</v>
      </c>
      <c r="B7" s="8" t="s">
        <v>21</v>
      </c>
      <c r="C7" s="8" t="s">
        <v>22</v>
      </c>
      <c r="D7" s="9" t="s">
        <v>23</v>
      </c>
      <c r="E7" s="9" t="s">
        <v>24</v>
      </c>
      <c r="F7" s="9" t="s">
        <v>25</v>
      </c>
      <c r="G7" s="1" t="s">
        <v>11</v>
      </c>
      <c r="H7" s="1" t="s">
        <v>11</v>
      </c>
      <c r="I7" s="10">
        <v>1</v>
      </c>
      <c r="J7" s="1" t="s">
        <v>11</v>
      </c>
      <c r="K7" s="1" t="s">
        <v>11</v>
      </c>
      <c r="L7" s="10">
        <v>1</v>
      </c>
      <c r="M7" s="1" t="s">
        <v>11</v>
      </c>
      <c r="N7" s="1" t="s">
        <v>11</v>
      </c>
      <c r="O7" s="10">
        <v>1</v>
      </c>
      <c r="P7" s="1" t="s">
        <v>11</v>
      </c>
      <c r="Q7" s="1" t="s">
        <v>11</v>
      </c>
      <c r="R7" s="10">
        <v>1</v>
      </c>
      <c r="S7" s="13">
        <f t="array" ref="S7">SUMPRODUCT(--(0&amp;SUBSTITUTE(G7:R7,"-","0")))/IF(F7="季度",4,IF(F7="月度",12,1))</f>
        <v>1</v>
      </c>
    </row>
    <row r="8" spans="1:19">
      <c r="A8" s="7">
        <f t="shared" si="0"/>
        <v>6</v>
      </c>
      <c r="B8" s="8"/>
      <c r="C8" s="8" t="s">
        <v>26</v>
      </c>
      <c r="D8" s="9" t="s">
        <v>27</v>
      </c>
      <c r="E8" s="9" t="s">
        <v>24</v>
      </c>
      <c r="F8" s="9" t="s">
        <v>25</v>
      </c>
      <c r="G8" s="1" t="s">
        <v>11</v>
      </c>
      <c r="H8" s="1" t="s">
        <v>11</v>
      </c>
      <c r="I8" s="10">
        <v>1</v>
      </c>
      <c r="J8" s="1" t="s">
        <v>11</v>
      </c>
      <c r="K8" s="1" t="s">
        <v>11</v>
      </c>
      <c r="L8" s="10">
        <v>1</v>
      </c>
      <c r="M8" s="1" t="s">
        <v>11</v>
      </c>
      <c r="N8" s="1" t="s">
        <v>11</v>
      </c>
      <c r="O8" s="10">
        <v>1</v>
      </c>
      <c r="P8" s="1" t="s">
        <v>11</v>
      </c>
      <c r="Q8" s="1" t="s">
        <v>11</v>
      </c>
      <c r="R8" s="10">
        <v>1</v>
      </c>
      <c r="S8" s="13">
        <f t="array" ref="S8">SUMPRODUCT(--(0&amp;SUBSTITUTE(G8:R8,"-","0")))/IF(F8="季度",4,IF(F8="月度",12,1))</f>
        <v>1</v>
      </c>
    </row>
    <row r="9" spans="1:19">
      <c r="A9" s="7">
        <f t="shared" si="0"/>
        <v>7</v>
      </c>
      <c r="B9" s="8"/>
      <c r="C9" s="8" t="s">
        <v>28</v>
      </c>
      <c r="D9" s="9" t="s">
        <v>29</v>
      </c>
      <c r="E9" s="9" t="s">
        <v>24</v>
      </c>
      <c r="F9" s="9" t="s">
        <v>25</v>
      </c>
      <c r="G9" s="1" t="s">
        <v>11</v>
      </c>
      <c r="H9" s="1" t="s">
        <v>11</v>
      </c>
      <c r="I9" s="10">
        <v>1</v>
      </c>
      <c r="J9" s="1" t="s">
        <v>11</v>
      </c>
      <c r="K9" s="1" t="s">
        <v>11</v>
      </c>
      <c r="L9" s="10">
        <v>1</v>
      </c>
      <c r="M9" s="1" t="s">
        <v>11</v>
      </c>
      <c r="N9" s="1" t="s">
        <v>11</v>
      </c>
      <c r="O9" s="10">
        <v>1</v>
      </c>
      <c r="P9" s="1" t="s">
        <v>11</v>
      </c>
      <c r="Q9" s="1" t="s">
        <v>11</v>
      </c>
      <c r="R9" s="10">
        <v>1</v>
      </c>
      <c r="S9" s="13">
        <f t="array" ref="S9">SUMPRODUCT(--(0&amp;SUBSTITUTE(G9:R9,"-","0")))/IF(F9="季度",4,IF(F9="月度",12,1))</f>
        <v>1</v>
      </c>
    </row>
    <row r="10" spans="1:19">
      <c r="A10" s="7">
        <f t="shared" si="0"/>
        <v>8</v>
      </c>
      <c r="B10" s="8"/>
      <c r="C10" s="8" t="s">
        <v>30</v>
      </c>
      <c r="D10" s="9" t="s">
        <v>31</v>
      </c>
      <c r="E10" s="9" t="s">
        <v>24</v>
      </c>
      <c r="F10" s="9" t="s">
        <v>25</v>
      </c>
      <c r="G10" s="1" t="s">
        <v>11</v>
      </c>
      <c r="H10" s="1" t="s">
        <v>11</v>
      </c>
      <c r="I10" s="10">
        <v>1</v>
      </c>
      <c r="J10" s="1" t="s">
        <v>11</v>
      </c>
      <c r="K10" s="1" t="s">
        <v>11</v>
      </c>
      <c r="L10" s="10">
        <v>1</v>
      </c>
      <c r="M10" s="1" t="s">
        <v>11</v>
      </c>
      <c r="N10" s="1" t="s">
        <v>11</v>
      </c>
      <c r="O10" s="10">
        <v>1</v>
      </c>
      <c r="P10" s="1" t="s">
        <v>11</v>
      </c>
      <c r="Q10" s="1" t="s">
        <v>11</v>
      </c>
      <c r="R10" s="10">
        <v>1</v>
      </c>
      <c r="S10" s="13">
        <f t="array" ref="S10">SUMPRODUCT(--(0&amp;SUBSTITUTE(G10:R10,"-","0")))/IF(F10="季度",4,IF(F10="月度",12,1))</f>
        <v>1</v>
      </c>
    </row>
    <row r="11" spans="1:19">
      <c r="A11" s="7">
        <f t="shared" si="0"/>
        <v>9</v>
      </c>
      <c r="B11" s="8"/>
      <c r="C11" s="8" t="s">
        <v>32</v>
      </c>
      <c r="D11" s="9" t="s">
        <v>33</v>
      </c>
      <c r="E11" s="9" t="s">
        <v>9</v>
      </c>
      <c r="F11" s="9" t="s">
        <v>25</v>
      </c>
      <c r="G11" s="1" t="s">
        <v>11</v>
      </c>
      <c r="H11" s="1" t="s">
        <v>11</v>
      </c>
      <c r="I11" s="10">
        <v>1</v>
      </c>
      <c r="J11" s="1" t="s">
        <v>11</v>
      </c>
      <c r="K11" s="1" t="s">
        <v>11</v>
      </c>
      <c r="L11" s="10">
        <v>1</v>
      </c>
      <c r="M11" s="1" t="s">
        <v>11</v>
      </c>
      <c r="N11" s="1" t="s">
        <v>11</v>
      </c>
      <c r="O11" s="10">
        <v>1</v>
      </c>
      <c r="P11" s="1" t="s">
        <v>11</v>
      </c>
      <c r="Q11" s="1" t="s">
        <v>11</v>
      </c>
      <c r="R11" s="10">
        <v>1</v>
      </c>
      <c r="S11" s="13">
        <f t="array" ref="S11">SUMPRODUCT(--(0&amp;SUBSTITUTE(G11:R11,"-","0")))/IF(F11="季度",4,IF(F11="月度",12,1))</f>
        <v>1</v>
      </c>
    </row>
    <row r="12" spans="1:19">
      <c r="A12" s="7">
        <f t="shared" si="0"/>
        <v>10</v>
      </c>
      <c r="B12" s="8"/>
      <c r="C12" s="8" t="s">
        <v>34</v>
      </c>
      <c r="D12" s="9" t="s">
        <v>35</v>
      </c>
      <c r="E12" s="9" t="s">
        <v>36</v>
      </c>
      <c r="F12" s="9" t="s">
        <v>14</v>
      </c>
      <c r="G12" s="1" t="s">
        <v>11</v>
      </c>
      <c r="H12" s="1" t="s">
        <v>11</v>
      </c>
      <c r="I12" s="10" t="s">
        <v>11</v>
      </c>
      <c r="J12" s="1" t="s">
        <v>11</v>
      </c>
      <c r="K12" s="1" t="s">
        <v>11</v>
      </c>
      <c r="L12" s="10" t="s">
        <v>11</v>
      </c>
      <c r="M12" s="1" t="s">
        <v>11</v>
      </c>
      <c r="N12" s="1" t="s">
        <v>11</v>
      </c>
      <c r="O12" s="10" t="s">
        <v>11</v>
      </c>
      <c r="P12" s="1" t="s">
        <v>11</v>
      </c>
      <c r="Q12" s="1" t="s">
        <v>11</v>
      </c>
      <c r="R12" s="10">
        <v>1</v>
      </c>
      <c r="S12" s="13">
        <f t="array" ref="S12">SUMPRODUCT(--(0&amp;SUBSTITUTE(G12:R12,"-","0")))/IF(F12="季度",4,IF(F12="月度",12,1))</f>
        <v>1</v>
      </c>
    </row>
    <row r="13" spans="1:19">
      <c r="A13" s="7">
        <f t="shared" si="0"/>
        <v>11</v>
      </c>
      <c r="B13" s="8" t="s">
        <v>37</v>
      </c>
      <c r="C13" s="8" t="s">
        <v>38</v>
      </c>
      <c r="D13" s="9" t="s">
        <v>39</v>
      </c>
      <c r="E13" s="9" t="s">
        <v>17</v>
      </c>
      <c r="F13" s="9" t="s">
        <v>14</v>
      </c>
      <c r="G13" s="1" t="s">
        <v>11</v>
      </c>
      <c r="H13" s="1" t="s">
        <v>11</v>
      </c>
      <c r="I13" s="10" t="s">
        <v>11</v>
      </c>
      <c r="J13" s="1" t="s">
        <v>11</v>
      </c>
      <c r="K13" s="1" t="s">
        <v>11</v>
      </c>
      <c r="L13" s="10" t="s">
        <v>11</v>
      </c>
      <c r="M13" s="1" t="s">
        <v>11</v>
      </c>
      <c r="N13" s="1" t="s">
        <v>11</v>
      </c>
      <c r="O13" s="10" t="s">
        <v>11</v>
      </c>
      <c r="P13" s="1" t="s">
        <v>11</v>
      </c>
      <c r="Q13" s="1" t="s">
        <v>11</v>
      </c>
      <c r="R13" s="1" t="s">
        <v>18</v>
      </c>
      <c r="S13" s="13" t="s">
        <v>19</v>
      </c>
    </row>
    <row r="14" spans="1:19">
      <c r="A14" s="7">
        <f t="shared" ref="A14:A23" si="1">ROW()-2</f>
        <v>12</v>
      </c>
      <c r="B14" s="8"/>
      <c r="C14" s="8" t="s">
        <v>40</v>
      </c>
      <c r="D14" s="9" t="s">
        <v>41</v>
      </c>
      <c r="E14" s="9" t="s">
        <v>9</v>
      </c>
      <c r="F14" s="9" t="s">
        <v>25</v>
      </c>
      <c r="G14" s="1" t="s">
        <v>11</v>
      </c>
      <c r="H14" s="1" t="s">
        <v>11</v>
      </c>
      <c r="I14" s="10">
        <v>1</v>
      </c>
      <c r="J14" s="1" t="s">
        <v>11</v>
      </c>
      <c r="K14" s="1" t="s">
        <v>11</v>
      </c>
      <c r="L14" s="10">
        <v>1</v>
      </c>
      <c r="M14" s="1" t="s">
        <v>11</v>
      </c>
      <c r="N14" s="1" t="s">
        <v>11</v>
      </c>
      <c r="O14" s="10">
        <v>1</v>
      </c>
      <c r="P14" s="1" t="s">
        <v>11</v>
      </c>
      <c r="Q14" s="1" t="s">
        <v>11</v>
      </c>
      <c r="R14" s="10">
        <v>1</v>
      </c>
      <c r="S14" s="13">
        <f t="array" ref="S14">SUMPRODUCT(--(0&amp;SUBSTITUTE(G14:R14,"-","0")))/IF(F14="季度",4,IF(F14="月度",12,1))</f>
        <v>1</v>
      </c>
    </row>
    <row r="15" spans="1:19">
      <c r="A15" s="7">
        <f t="shared" si="1"/>
        <v>13</v>
      </c>
      <c r="B15" s="8"/>
      <c r="C15" s="8" t="s">
        <v>42</v>
      </c>
      <c r="D15" s="9" t="s">
        <v>43</v>
      </c>
      <c r="E15" s="9" t="s">
        <v>9</v>
      </c>
      <c r="F15" s="9" t="s">
        <v>25</v>
      </c>
      <c r="G15" s="1" t="s">
        <v>11</v>
      </c>
      <c r="H15" s="1" t="s">
        <v>11</v>
      </c>
      <c r="I15" s="10">
        <v>1</v>
      </c>
      <c r="J15" s="1" t="s">
        <v>11</v>
      </c>
      <c r="K15" s="1" t="s">
        <v>11</v>
      </c>
      <c r="L15" s="10">
        <v>1</v>
      </c>
      <c r="M15" s="1" t="s">
        <v>11</v>
      </c>
      <c r="N15" s="1" t="s">
        <v>11</v>
      </c>
      <c r="O15" s="10">
        <v>1</v>
      </c>
      <c r="P15" s="1" t="s">
        <v>11</v>
      </c>
      <c r="Q15" s="1" t="s">
        <v>11</v>
      </c>
      <c r="R15" s="10">
        <v>1</v>
      </c>
      <c r="S15" s="13">
        <f t="array" ref="S15">SUMPRODUCT(--(0&amp;SUBSTITUTE(G15:R15,"-","0")))/IF(F15="季度",4,IF(F15="月度",12,1))</f>
        <v>1</v>
      </c>
    </row>
    <row r="16" spans="1:19">
      <c r="A16" s="7">
        <f t="shared" si="1"/>
        <v>14</v>
      </c>
      <c r="B16" s="8"/>
      <c r="C16" s="8" t="s">
        <v>44</v>
      </c>
      <c r="D16" s="9" t="s">
        <v>45</v>
      </c>
      <c r="E16" s="9" t="s">
        <v>9</v>
      </c>
      <c r="F16" s="9" t="s">
        <v>46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3">
        <f t="array" ref="S16">SUMPRODUCT(--(0&amp;SUBSTITUTE(G16:R16,"-","0")))/IF(F16="季度",4,IF(F16="月度",12,1))</f>
        <v>1</v>
      </c>
    </row>
    <row r="17" spans="1:19">
      <c r="A17" s="7">
        <f t="shared" si="1"/>
        <v>15</v>
      </c>
      <c r="B17" s="8"/>
      <c r="C17" s="8"/>
      <c r="D17" s="9" t="s">
        <v>47</v>
      </c>
      <c r="E17" s="9" t="s">
        <v>9</v>
      </c>
      <c r="F17" s="9" t="s">
        <v>25</v>
      </c>
      <c r="G17" s="1" t="s">
        <v>11</v>
      </c>
      <c r="H17" s="1" t="s">
        <v>11</v>
      </c>
      <c r="I17" s="10">
        <v>1</v>
      </c>
      <c r="J17" s="1" t="s">
        <v>11</v>
      </c>
      <c r="K17" s="1" t="s">
        <v>11</v>
      </c>
      <c r="L17" s="10">
        <v>1</v>
      </c>
      <c r="M17" s="1" t="s">
        <v>11</v>
      </c>
      <c r="N17" s="1" t="s">
        <v>11</v>
      </c>
      <c r="O17" s="10">
        <v>1</v>
      </c>
      <c r="P17" s="1" t="s">
        <v>11</v>
      </c>
      <c r="Q17" s="1" t="s">
        <v>11</v>
      </c>
      <c r="R17" s="10">
        <v>1</v>
      </c>
      <c r="S17" s="13">
        <f t="array" ref="S17">SUMPRODUCT(--(0&amp;SUBSTITUTE(G17:R17,"-","0")))/IF(F17="季度",4,IF(F17="月度",12,1))</f>
        <v>1</v>
      </c>
    </row>
    <row r="18" spans="1:19">
      <c r="A18" s="7">
        <f t="shared" si="1"/>
        <v>16</v>
      </c>
      <c r="B18" s="8"/>
      <c r="C18" s="8" t="s">
        <v>48</v>
      </c>
      <c r="D18" s="9" t="s">
        <v>49</v>
      </c>
      <c r="E18" s="9" t="s">
        <v>9</v>
      </c>
      <c r="F18" s="9" t="s">
        <v>25</v>
      </c>
      <c r="G18" s="1" t="s">
        <v>11</v>
      </c>
      <c r="H18" s="1" t="s">
        <v>11</v>
      </c>
      <c r="I18" s="10">
        <v>0.9</v>
      </c>
      <c r="J18" s="1" t="s">
        <v>11</v>
      </c>
      <c r="K18" s="1" t="s">
        <v>11</v>
      </c>
      <c r="L18" s="10">
        <v>0.92</v>
      </c>
      <c r="M18" s="1" t="s">
        <v>11</v>
      </c>
      <c r="N18" s="1" t="s">
        <v>11</v>
      </c>
      <c r="O18" s="10">
        <v>1</v>
      </c>
      <c r="P18" s="1" t="s">
        <v>11</v>
      </c>
      <c r="Q18" s="1" t="s">
        <v>11</v>
      </c>
      <c r="R18" s="10">
        <v>1</v>
      </c>
      <c r="S18" s="13">
        <f t="array" ref="S18">SUMPRODUCT(--(0&amp;SUBSTITUTE(G18:R18,"-","0")))/IF(F18="季度",4,IF(F18="月度",12,1))</f>
        <v>0.955</v>
      </c>
    </row>
    <row r="19" spans="1:19">
      <c r="A19" s="7">
        <f t="shared" si="1"/>
        <v>17</v>
      </c>
      <c r="B19" s="8"/>
      <c r="C19" s="8"/>
      <c r="D19" s="9" t="s">
        <v>50</v>
      </c>
      <c r="E19" s="9" t="s">
        <v>9</v>
      </c>
      <c r="F19" s="9" t="s">
        <v>25</v>
      </c>
      <c r="G19" s="1" t="s">
        <v>11</v>
      </c>
      <c r="H19" s="1" t="s">
        <v>11</v>
      </c>
      <c r="I19" s="10">
        <v>0.92</v>
      </c>
      <c r="J19" s="1" t="s">
        <v>11</v>
      </c>
      <c r="K19" s="1" t="s">
        <v>11</v>
      </c>
      <c r="L19" s="10">
        <v>1</v>
      </c>
      <c r="M19" s="1" t="s">
        <v>11</v>
      </c>
      <c r="N19" s="1" t="s">
        <v>11</v>
      </c>
      <c r="O19" s="10">
        <v>0.98</v>
      </c>
      <c r="P19" s="1" t="s">
        <v>11</v>
      </c>
      <c r="Q19" s="1" t="s">
        <v>11</v>
      </c>
      <c r="R19" s="10">
        <v>1</v>
      </c>
      <c r="S19" s="13">
        <f t="array" ref="S19">SUMPRODUCT(--(0&amp;SUBSTITUTE(G19:R19,"-","0")))/IF(F19="季度",4,IF(F19="月度",12,1))</f>
        <v>0.975</v>
      </c>
    </row>
    <row r="20" spans="1:19">
      <c r="A20" s="7">
        <f t="shared" si="1"/>
        <v>18</v>
      </c>
      <c r="B20" s="8"/>
      <c r="C20" s="8" t="s">
        <v>51</v>
      </c>
      <c r="D20" s="9" t="s">
        <v>52</v>
      </c>
      <c r="E20" s="9" t="s">
        <v>24</v>
      </c>
      <c r="F20" s="9" t="s">
        <v>53</v>
      </c>
      <c r="G20" s="1" t="s">
        <v>11</v>
      </c>
      <c r="H20" s="1" t="s">
        <v>11</v>
      </c>
      <c r="I20" s="10" t="s">
        <v>11</v>
      </c>
      <c r="J20" s="1" t="s">
        <v>11</v>
      </c>
      <c r="K20" s="1" t="s">
        <v>11</v>
      </c>
      <c r="L20" s="10">
        <v>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0">
        <v>1</v>
      </c>
      <c r="S20" s="13">
        <v>1</v>
      </c>
    </row>
    <row r="21" spans="1:19">
      <c r="A21" s="7">
        <f t="shared" si="1"/>
        <v>19</v>
      </c>
      <c r="B21" s="8"/>
      <c r="C21" s="8" t="s">
        <v>54</v>
      </c>
      <c r="D21" s="9" t="s">
        <v>55</v>
      </c>
      <c r="E21" s="9" t="s">
        <v>56</v>
      </c>
      <c r="F21" s="9" t="s">
        <v>46</v>
      </c>
      <c r="G21" s="10">
        <v>0.98</v>
      </c>
      <c r="H21" s="10">
        <v>0.98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4">
        <v>0.95</v>
      </c>
      <c r="Q21" s="15">
        <v>0.98</v>
      </c>
      <c r="R21" s="10">
        <v>1</v>
      </c>
      <c r="S21" s="13">
        <f t="array" ref="S21">SUMPRODUCT(--(0&amp;SUBSTITUTE(G21:R21,"-","0")))/IF(F21="季度",4,IF(F21="月度",12,1))</f>
        <v>0.990833333333333</v>
      </c>
    </row>
    <row r="22" spans="1:19">
      <c r="A22" s="7">
        <f t="shared" si="1"/>
        <v>20</v>
      </c>
      <c r="B22" s="8"/>
      <c r="C22" s="8" t="s">
        <v>57</v>
      </c>
      <c r="D22" s="9" t="s">
        <v>58</v>
      </c>
      <c r="E22" s="9" t="s">
        <v>56</v>
      </c>
      <c r="F22" s="9" t="s">
        <v>46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3">
        <f t="array" ref="S22">SUMPRODUCT(--(0&amp;SUBSTITUTE(G22:R22,"-","0")))/IF(F22="季度",4,IF(F22="月度",12,1))</f>
        <v>1</v>
      </c>
    </row>
    <row r="23" spans="1:19">
      <c r="A23" s="7">
        <f t="shared" si="1"/>
        <v>21</v>
      </c>
      <c r="B23" s="8"/>
      <c r="C23" s="8" t="s">
        <v>59</v>
      </c>
      <c r="D23" s="9" t="s">
        <v>60</v>
      </c>
      <c r="E23" s="9" t="s">
        <v>9</v>
      </c>
      <c r="F23" s="9" t="s">
        <v>46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3">
        <f t="array" ref="S23">SUMPRODUCT(--(0&amp;SUBSTITUTE(G23:R23,"-","0")))/IF(F23="季度",4,IF(F23="月度",12,1))</f>
        <v>1</v>
      </c>
    </row>
    <row r="24" spans="1:19">
      <c r="A24" s="7">
        <f t="shared" ref="A24:A37" si="2">ROW()-2</f>
        <v>22</v>
      </c>
      <c r="B24" s="8"/>
      <c r="C24" s="8"/>
      <c r="D24" s="9" t="s">
        <v>61</v>
      </c>
      <c r="E24" s="9" t="s">
        <v>62</v>
      </c>
      <c r="F24" s="9" t="s">
        <v>46</v>
      </c>
      <c r="G24" s="1" t="s">
        <v>63</v>
      </c>
      <c r="H24" s="1" t="s">
        <v>63</v>
      </c>
      <c r="I24" s="1" t="s">
        <v>63</v>
      </c>
      <c r="J24" s="1" t="s">
        <v>63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3" t="s">
        <v>15</v>
      </c>
    </row>
    <row r="25" spans="1:19">
      <c r="A25" s="7">
        <f t="shared" si="2"/>
        <v>23</v>
      </c>
      <c r="B25" s="8"/>
      <c r="C25" s="8" t="s">
        <v>64</v>
      </c>
      <c r="D25" s="9" t="s">
        <v>65</v>
      </c>
      <c r="E25" s="9" t="s">
        <v>62</v>
      </c>
      <c r="F25" s="9" t="s">
        <v>14</v>
      </c>
      <c r="G25" s="1" t="s">
        <v>11</v>
      </c>
      <c r="H25" s="1" t="s">
        <v>11</v>
      </c>
      <c r="I25" s="10" t="s">
        <v>11</v>
      </c>
      <c r="J25" s="1" t="s">
        <v>11</v>
      </c>
      <c r="K25" s="1" t="s">
        <v>11</v>
      </c>
      <c r="L25" s="10" t="s">
        <v>11</v>
      </c>
      <c r="M25" s="1" t="s">
        <v>11</v>
      </c>
      <c r="N25" s="1" t="s">
        <v>11</v>
      </c>
      <c r="O25" s="10" t="s">
        <v>11</v>
      </c>
      <c r="P25" s="1" t="s">
        <v>11</v>
      </c>
      <c r="Q25" s="1" t="s">
        <v>11</v>
      </c>
      <c r="R25" s="1" t="s">
        <v>63</v>
      </c>
      <c r="S25" s="13" t="s">
        <v>15</v>
      </c>
    </row>
    <row r="26" spans="1:19">
      <c r="A26" s="7">
        <f t="shared" si="2"/>
        <v>24</v>
      </c>
      <c r="B26" s="8"/>
      <c r="C26" s="8" t="s">
        <v>66</v>
      </c>
      <c r="D26" s="9" t="s">
        <v>67</v>
      </c>
      <c r="E26" s="9" t="s">
        <v>62</v>
      </c>
      <c r="F26" s="9" t="s">
        <v>14</v>
      </c>
      <c r="G26" s="1" t="s">
        <v>11</v>
      </c>
      <c r="H26" s="1" t="s">
        <v>11</v>
      </c>
      <c r="I26" s="10" t="s">
        <v>11</v>
      </c>
      <c r="J26" s="1" t="s">
        <v>11</v>
      </c>
      <c r="K26" s="1" t="s">
        <v>11</v>
      </c>
      <c r="L26" s="10" t="s">
        <v>11</v>
      </c>
      <c r="M26" s="1" t="s">
        <v>11</v>
      </c>
      <c r="N26" s="1" t="s">
        <v>11</v>
      </c>
      <c r="O26" s="10" t="s">
        <v>11</v>
      </c>
      <c r="P26" s="1" t="s">
        <v>11</v>
      </c>
      <c r="Q26" s="1" t="s">
        <v>11</v>
      </c>
      <c r="R26" s="1" t="s">
        <v>63</v>
      </c>
      <c r="S26" s="13" t="s">
        <v>15</v>
      </c>
    </row>
    <row r="27" spans="1:19">
      <c r="A27" s="7">
        <f t="shared" si="2"/>
        <v>25</v>
      </c>
      <c r="B27" s="8" t="s">
        <v>68</v>
      </c>
      <c r="C27" s="8"/>
      <c r="D27" s="9" t="s">
        <v>69</v>
      </c>
      <c r="E27" s="9" t="s">
        <v>36</v>
      </c>
      <c r="F27" s="9" t="s">
        <v>25</v>
      </c>
      <c r="G27" s="1" t="s">
        <v>11</v>
      </c>
      <c r="H27" s="1" t="s">
        <v>11</v>
      </c>
      <c r="I27" s="10">
        <v>1</v>
      </c>
      <c r="J27" s="1" t="s">
        <v>11</v>
      </c>
      <c r="K27" s="1" t="s">
        <v>11</v>
      </c>
      <c r="L27" s="10">
        <v>1</v>
      </c>
      <c r="M27" s="1" t="s">
        <v>11</v>
      </c>
      <c r="N27" s="1" t="s">
        <v>11</v>
      </c>
      <c r="O27" s="10">
        <v>1</v>
      </c>
      <c r="P27" s="1" t="s">
        <v>11</v>
      </c>
      <c r="Q27" s="1" t="s">
        <v>11</v>
      </c>
      <c r="R27" s="10">
        <v>1</v>
      </c>
      <c r="S27" s="13">
        <f t="array" ref="S27">SUMPRODUCT(--(0&amp;SUBSTITUTE(G27:R27,"-","0")))/IF(F27="季度",4,IF(F27="月度",12,1))</f>
        <v>1</v>
      </c>
    </row>
    <row r="28" spans="1:19">
      <c r="A28" s="7">
        <f t="shared" si="2"/>
        <v>26</v>
      </c>
      <c r="B28" s="8"/>
      <c r="C28" s="8"/>
      <c r="D28" s="9" t="s">
        <v>70</v>
      </c>
      <c r="E28" s="9" t="s">
        <v>71</v>
      </c>
      <c r="F28" s="9" t="s">
        <v>14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0">
        <v>1</v>
      </c>
      <c r="S28" s="13">
        <f t="array" ref="S28">SUMPRODUCT(--(0&amp;SUBSTITUTE(G28:R28,"-","0")))/IF(F28="季度",4,IF(F28="月度",12,1))</f>
        <v>1</v>
      </c>
    </row>
    <row r="29" spans="1:19">
      <c r="A29" s="7">
        <f t="shared" si="2"/>
        <v>27</v>
      </c>
      <c r="B29" s="8" t="s">
        <v>72</v>
      </c>
      <c r="C29" s="8" t="s">
        <v>73</v>
      </c>
      <c r="D29" s="9" t="s">
        <v>74</v>
      </c>
      <c r="E29" s="9" t="s">
        <v>24</v>
      </c>
      <c r="F29" s="9" t="s">
        <v>25</v>
      </c>
      <c r="G29" s="1" t="s">
        <v>11</v>
      </c>
      <c r="H29" s="1" t="s">
        <v>11</v>
      </c>
      <c r="I29" s="10">
        <v>1</v>
      </c>
      <c r="J29" s="1" t="s">
        <v>11</v>
      </c>
      <c r="K29" s="1" t="s">
        <v>11</v>
      </c>
      <c r="L29" s="10">
        <v>1</v>
      </c>
      <c r="M29" s="1" t="s">
        <v>11</v>
      </c>
      <c r="N29" s="1" t="s">
        <v>11</v>
      </c>
      <c r="O29" s="10">
        <v>1</v>
      </c>
      <c r="P29" s="1" t="s">
        <v>11</v>
      </c>
      <c r="Q29" s="1" t="s">
        <v>11</v>
      </c>
      <c r="R29" s="10">
        <v>1</v>
      </c>
      <c r="S29" s="13">
        <f t="array" ref="S29">SUMPRODUCT(--(0&amp;SUBSTITUTE(G29:R29,"-","0")))/IF(F29="季度",4,IF(F29="月度",12,1))</f>
        <v>1</v>
      </c>
    </row>
    <row r="30" spans="1:19">
      <c r="A30" s="7">
        <f t="shared" si="2"/>
        <v>28</v>
      </c>
      <c r="B30" s="8"/>
      <c r="C30" s="8" t="s">
        <v>75</v>
      </c>
      <c r="D30" s="9" t="s">
        <v>76</v>
      </c>
      <c r="E30" s="9" t="s">
        <v>9</v>
      </c>
      <c r="F30" s="9" t="s">
        <v>25</v>
      </c>
      <c r="G30" s="1" t="s">
        <v>11</v>
      </c>
      <c r="H30" s="1" t="s">
        <v>11</v>
      </c>
      <c r="I30" s="10">
        <v>0.9</v>
      </c>
      <c r="J30" s="1" t="s">
        <v>11</v>
      </c>
      <c r="K30" s="1" t="s">
        <v>11</v>
      </c>
      <c r="L30" s="10">
        <v>0.92</v>
      </c>
      <c r="M30" s="1" t="s">
        <v>11</v>
      </c>
      <c r="N30" s="1" t="s">
        <v>11</v>
      </c>
      <c r="O30" s="10">
        <v>0.95</v>
      </c>
      <c r="P30" s="1" t="s">
        <v>11</v>
      </c>
      <c r="Q30" s="1" t="s">
        <v>11</v>
      </c>
      <c r="R30" s="10">
        <v>1</v>
      </c>
      <c r="S30" s="13">
        <f t="array" ref="S30">SUMPRODUCT(--(0&amp;SUBSTITUTE(G30:R30,"-","0")))/IF(F30="季度",4,IF(F30="月度",12,1))</f>
        <v>0.9425</v>
      </c>
    </row>
    <row r="31" spans="1:19">
      <c r="A31" s="7">
        <f t="shared" si="2"/>
        <v>29</v>
      </c>
      <c r="B31" s="8"/>
      <c r="C31" s="16" t="s">
        <v>77</v>
      </c>
      <c r="D31" s="9" t="s">
        <v>78</v>
      </c>
      <c r="E31" s="9" t="s">
        <v>24</v>
      </c>
      <c r="F31" s="9" t="s">
        <v>14</v>
      </c>
      <c r="G31" s="9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11</v>
      </c>
      <c r="R31" s="10">
        <v>1</v>
      </c>
      <c r="S31" s="10">
        <v>1</v>
      </c>
    </row>
    <row r="32" spans="1:19">
      <c r="A32" s="7">
        <f t="shared" si="2"/>
        <v>30</v>
      </c>
      <c r="B32" s="8"/>
      <c r="C32" s="17"/>
      <c r="D32" s="9" t="s">
        <v>79</v>
      </c>
      <c r="E32" s="9" t="s">
        <v>56</v>
      </c>
      <c r="F32" s="9" t="s">
        <v>25</v>
      </c>
      <c r="G32" s="1" t="s">
        <v>11</v>
      </c>
      <c r="H32" s="1" t="s">
        <v>11</v>
      </c>
      <c r="I32" s="10">
        <v>1</v>
      </c>
      <c r="J32" s="1" t="s">
        <v>11</v>
      </c>
      <c r="K32" s="1" t="s">
        <v>11</v>
      </c>
      <c r="L32" s="10">
        <v>1</v>
      </c>
      <c r="M32" s="1" t="s">
        <v>11</v>
      </c>
      <c r="N32" s="1" t="s">
        <v>11</v>
      </c>
      <c r="O32" s="10">
        <v>1</v>
      </c>
      <c r="P32" s="1" t="s">
        <v>11</v>
      </c>
      <c r="Q32" s="1" t="s">
        <v>11</v>
      </c>
      <c r="R32" s="10">
        <v>1</v>
      </c>
      <c r="S32" s="13">
        <f t="array" ref="S32">SUMPRODUCT(--(0&amp;SUBSTITUTE(G32:R32,"-","0")))/IF(F32="季度",4,IF(F32="月度",12,1))</f>
        <v>1</v>
      </c>
    </row>
    <row r="33" spans="1:19">
      <c r="A33" s="7">
        <f t="shared" si="2"/>
        <v>31</v>
      </c>
      <c r="B33" s="8"/>
      <c r="C33" s="8" t="s">
        <v>80</v>
      </c>
      <c r="D33" s="9" t="s">
        <v>81</v>
      </c>
      <c r="E33" s="9" t="s">
        <v>82</v>
      </c>
      <c r="F33" s="9" t="s">
        <v>25</v>
      </c>
      <c r="G33" s="1" t="s">
        <v>11</v>
      </c>
      <c r="H33" s="1" t="s">
        <v>11</v>
      </c>
      <c r="I33" s="18" t="s">
        <v>83</v>
      </c>
      <c r="J33" s="1" t="s">
        <v>11</v>
      </c>
      <c r="K33" s="1" t="s">
        <v>11</v>
      </c>
      <c r="L33" s="10" t="s">
        <v>84</v>
      </c>
      <c r="M33" s="1" t="s">
        <v>11</v>
      </c>
      <c r="N33" s="1" t="s">
        <v>11</v>
      </c>
      <c r="O33" s="10" t="s">
        <v>85</v>
      </c>
      <c r="P33" s="1" t="s">
        <v>11</v>
      </c>
      <c r="Q33" s="1" t="s">
        <v>11</v>
      </c>
      <c r="R33" s="13" t="s">
        <v>86</v>
      </c>
      <c r="S33" s="13" t="s">
        <v>86</v>
      </c>
    </row>
    <row r="34" ht="16" customHeight="1" spans="1:19">
      <c r="A34" s="7">
        <f t="shared" si="2"/>
        <v>32</v>
      </c>
      <c r="B34" s="8"/>
      <c r="C34" s="8" t="s">
        <v>87</v>
      </c>
      <c r="D34" s="9" t="s">
        <v>88</v>
      </c>
      <c r="E34" s="9" t="s">
        <v>17</v>
      </c>
      <c r="F34" s="9" t="s">
        <v>53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18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11</v>
      </c>
      <c r="R34" s="13" t="s">
        <v>19</v>
      </c>
      <c r="S34" s="13" t="s">
        <v>19</v>
      </c>
    </row>
    <row r="35" spans="1:19">
      <c r="A35" s="7">
        <f t="shared" si="2"/>
        <v>33</v>
      </c>
      <c r="B35" s="8"/>
      <c r="C35" s="8" t="s">
        <v>89</v>
      </c>
      <c r="D35" s="9" t="s">
        <v>90</v>
      </c>
      <c r="E35" s="9" t="s">
        <v>17</v>
      </c>
      <c r="F35" s="9" t="s">
        <v>25</v>
      </c>
      <c r="G35" s="1" t="s">
        <v>11</v>
      </c>
      <c r="H35" s="1" t="s">
        <v>11</v>
      </c>
      <c r="I35" s="1" t="s">
        <v>91</v>
      </c>
      <c r="J35" s="1" t="s">
        <v>11</v>
      </c>
      <c r="K35" s="1" t="s">
        <v>11</v>
      </c>
      <c r="L35" s="1" t="s">
        <v>91</v>
      </c>
      <c r="M35" s="1" t="s">
        <v>11</v>
      </c>
      <c r="N35" s="1" t="s">
        <v>11</v>
      </c>
      <c r="O35" s="1" t="s">
        <v>92</v>
      </c>
      <c r="P35" s="1" t="s">
        <v>11</v>
      </c>
      <c r="Q35" s="1" t="s">
        <v>11</v>
      </c>
      <c r="R35" s="13" t="s">
        <v>93</v>
      </c>
      <c r="S35" s="13" t="s">
        <v>94</v>
      </c>
    </row>
    <row r="36" spans="1:19">
      <c r="A36" s="7">
        <f t="shared" si="2"/>
        <v>34</v>
      </c>
      <c r="B36" s="8" t="s">
        <v>95</v>
      </c>
      <c r="C36" s="8"/>
      <c r="D36" s="9" t="s">
        <v>96</v>
      </c>
      <c r="E36" s="19">
        <v>1</v>
      </c>
      <c r="F36" s="9" t="s">
        <v>14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0">
        <v>1</v>
      </c>
      <c r="S36" s="13">
        <f t="array" ref="S36">SUMPRODUCT(--(0&amp;SUBSTITUTE(G36:R36,"-","0")))/IF(F36="季度",4,IF(F36="月度",12,1))</f>
        <v>1</v>
      </c>
    </row>
    <row r="37" spans="1:19">
      <c r="A37" s="7">
        <f t="shared" si="2"/>
        <v>35</v>
      </c>
      <c r="B37" s="8" t="s">
        <v>97</v>
      </c>
      <c r="C37" s="8"/>
      <c r="D37" s="9" t="s">
        <v>98</v>
      </c>
      <c r="E37" s="9" t="s">
        <v>17</v>
      </c>
      <c r="F37" s="9" t="s">
        <v>14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3" t="s">
        <v>19</v>
      </c>
      <c r="S37" s="13" t="s">
        <v>19</v>
      </c>
    </row>
    <row r="38" ht="71" customHeight="1" spans="1:19">
      <c r="A38" s="20" t="s">
        <v>99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mergeCells count="19">
    <mergeCell ref="G1:R1"/>
    <mergeCell ref="B36:C36"/>
    <mergeCell ref="B37:C37"/>
    <mergeCell ref="A38:S38"/>
    <mergeCell ref="A1:A2"/>
    <mergeCell ref="B7:B12"/>
    <mergeCell ref="B13:B26"/>
    <mergeCell ref="B29:B35"/>
    <mergeCell ref="C16:C17"/>
    <mergeCell ref="C18:C19"/>
    <mergeCell ref="C23:C24"/>
    <mergeCell ref="C31:C32"/>
    <mergeCell ref="D1:D2"/>
    <mergeCell ref="E1:E2"/>
    <mergeCell ref="F1:F2"/>
    <mergeCell ref="S1:S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paperSize="9" scale="63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2014-02-14T23:30:00Z</cp:lastPrinted>
  <dcterms:modified xsi:type="dcterms:W3CDTF">2026-05-14T14:19:09Z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