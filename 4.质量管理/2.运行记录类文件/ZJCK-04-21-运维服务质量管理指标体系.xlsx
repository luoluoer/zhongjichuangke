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520" windowHeight="12225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<sst xmlns="http://schemas.openxmlformats.org/spreadsheetml/2006/main" count="211" uniqueCount="125">
  <si>
    <t xml:space="preserve">运维服务质量管理指标体系       </t>
  </si>
  <si>
    <t>编号</t>
  </si>
  <si>
    <t>名称</t>
  </si>
  <si>
    <t>KPI</t>
  </si>
  <si>
    <t>目标值</t>
  </si>
  <si>
    <t>计算公式/方法</t>
  </si>
  <si>
    <t>频度</t>
  </si>
  <si>
    <t>责任部门</t>
  </si>
  <si>
    <t>质量</t>
  </si>
  <si>
    <t>客户满意度</t>
  </si>
  <si>
    <t>≥90%</t>
  </si>
  <si>
    <t>半年度</t>
  </si>
  <si>
    <t>质量部</t>
  </si>
  <si>
    <t>客户投诉次数</t>
  </si>
  <si>
    <t>≤2次</t>
  </si>
  <si>
    <t>数量，所有项目客户投诉数量和</t>
  </si>
  <si>
    <t>年度</t>
  </si>
  <si>
    <t>内审次数</t>
  </si>
  <si>
    <t>≥1次</t>
  </si>
  <si>
    <t>数量，内审报告数量</t>
  </si>
  <si>
    <t>管理评审次数</t>
  </si>
  <si>
    <t>数量，管理评审报告数量</t>
  </si>
  <si>
    <t>经营拓展部</t>
  </si>
  <si>
    <t>人员</t>
  </si>
  <si>
    <t>储备</t>
  </si>
  <si>
    <t>储备计划完成率</t>
  </si>
  <si>
    <t>≥95%</t>
  </si>
  <si>
    <t>实际完成储备人员数量/应储备人员总数量*100%</t>
  </si>
  <si>
    <t>季度</t>
  </si>
  <si>
    <t>综合管理部</t>
  </si>
  <si>
    <t>培训</t>
  </si>
  <si>
    <t>培训计划完成率</t>
  </si>
  <si>
    <t>实际培训次数/应培训次数*100%</t>
  </si>
  <si>
    <t>招聘</t>
  </si>
  <si>
    <t>招聘计划达成率</t>
  </si>
  <si>
    <t>实际聘用人数/计划招聘人数*100%</t>
  </si>
  <si>
    <t>备份</t>
  </si>
  <si>
    <t>备份计划达成率</t>
  </si>
  <si>
    <t>实际备份人数/计划备份人数*100%</t>
  </si>
  <si>
    <t>绩效考核</t>
  </si>
  <si>
    <t>绩效考核合格率</t>
  </si>
  <si>
    <t>绩效考核合格人数/绩效考核总人数*100%</t>
  </si>
  <si>
    <t>能力评价</t>
  </si>
  <si>
    <t>能力评价覆盖率</t>
  </si>
  <si>
    <t>≥80%</t>
  </si>
  <si>
    <t>实际进行能力评价的人数/应进行能力评价的人数*100%</t>
  </si>
  <si>
    <t>过程</t>
  </si>
  <si>
    <t>过程框架</t>
  </si>
  <si>
    <t>过程框架自评估次数</t>
  </si>
  <si>
    <t>次数，过程框架自评估报告数量</t>
  </si>
  <si>
    <t>服务级别</t>
  </si>
  <si>
    <t>SLA达成率</t>
  </si>
  <si>
    <t>达到服务级别要求的事件数/应达到服务级别要求的事件总数*100%</t>
  </si>
  <si>
    <t>服务报告</t>
  </si>
  <si>
    <t>服务报告交付及时率</t>
  </si>
  <si>
    <t>（服务报告按时提交的数量/服务报告总数量）*100%</t>
  </si>
  <si>
    <t>事件</t>
  </si>
  <si>
    <t>事件解决率</t>
  </si>
  <si>
    <t>成功解决事件数/已关闭事件总数</t>
  </si>
  <si>
    <t>月度</t>
  </si>
  <si>
    <t>事件解决用户满意度</t>
  </si>
  <si>
    <t>（调查结果为满意、非常满意的用户数量/调查满意度用户总数）*100%</t>
  </si>
  <si>
    <t>问题</t>
  </si>
  <si>
    <t>问题转知识的比率</t>
  </si>
  <si>
    <t>问题转知识库的总数/已解决的问题总数</t>
  </si>
  <si>
    <t>问题解决率</t>
  </si>
  <si>
    <t>（已解决的问题数量/问题总数）*100%</t>
  </si>
  <si>
    <t>配置</t>
  </si>
  <si>
    <t>配置数据的准确率</t>
  </si>
  <si>
    <t>（配置数据匹配数/配置数据总数）*100%</t>
  </si>
  <si>
    <t>半年</t>
  </si>
  <si>
    <t>变更</t>
  </si>
  <si>
    <t>变更成功率</t>
  </si>
  <si>
    <t>≥98%</t>
  </si>
  <si>
    <t>（变更成功的数量/变更总数)*100%</t>
  </si>
  <si>
    <t>发布</t>
  </si>
  <si>
    <t>发布成功率</t>
  </si>
  <si>
    <t>（发布成功的数量/发布总数）*100%</t>
  </si>
  <si>
    <t>服务</t>
  </si>
  <si>
    <t>服务可用率</t>
  </si>
  <si>
    <t>服务实际可用时间/服务计划可用时间*100%</t>
  </si>
  <si>
    <t>服务故障中断次数</t>
  </si>
  <si>
    <t>≤1次</t>
  </si>
  <si>
    <t>数量，因服务故障导致的服务中断次数</t>
  </si>
  <si>
    <t>容量</t>
  </si>
  <si>
    <t>容量事件数</t>
  </si>
  <si>
    <t>数量，因容量导致的事件次数</t>
  </si>
  <si>
    <t>信息安全</t>
  </si>
  <si>
    <t>信息安全事件数量</t>
  </si>
  <si>
    <t>我方人员造成信息安全事件的次数</t>
  </si>
  <si>
    <t>技术</t>
  </si>
  <si>
    <t>阶段成果达成率</t>
  </si>
  <si>
    <t>（项目实施阶段成果达成数/计划成果数）*100%</t>
  </si>
  <si>
    <t>技术研发中心</t>
  </si>
  <si>
    <t>资金使用率</t>
  </si>
  <si>
    <t>≥85%</t>
  </si>
  <si>
    <t>实际使用资金金额/计划投入资金金额*100%</t>
  </si>
  <si>
    <t>资源</t>
  </si>
  <si>
    <t>工具</t>
  </si>
  <si>
    <t>工具使用率</t>
  </si>
  <si>
    <t>（使用工具项目数/项目总数）*100%</t>
  </si>
  <si>
    <t>服务台</t>
  </si>
  <si>
    <t>服务台派单成功率</t>
  </si>
  <si>
    <t>【1-（退回的派单/派单总数）】*100%</t>
  </si>
  <si>
    <t>备件库</t>
  </si>
  <si>
    <t>备件可用率</t>
  </si>
  <si>
    <r>
      <rPr>
        <sz val="10.5"/>
        <color indexed="8"/>
        <rFont val="宋体"/>
        <charset val="134"/>
      </rPr>
      <t>（领用备件完好数量</t>
    </r>
    <r>
      <rPr>
        <sz val="12"/>
        <color rgb="FF000000"/>
        <rFont val="Arial"/>
        <charset val="134"/>
      </rPr>
      <t xml:space="preserve"> / </t>
    </r>
    <r>
      <rPr>
        <sz val="12"/>
        <color rgb="FF000000"/>
        <rFont val="宋体"/>
        <charset val="134"/>
      </rPr>
      <t>领用备件总数）</t>
    </r>
    <r>
      <rPr>
        <sz val="12"/>
        <color rgb="FF000000"/>
        <rFont val="Arial"/>
        <charset val="134"/>
      </rPr>
      <t>× 100%</t>
    </r>
  </si>
  <si>
    <t>备件出入库准确率</t>
  </si>
  <si>
    <r>
      <rPr>
        <sz val="10.5"/>
        <color indexed="8"/>
        <rFont val="宋体"/>
        <charset val="134"/>
      </rPr>
      <t>（准确出入库记录数</t>
    </r>
    <r>
      <rPr>
        <sz val="12"/>
        <color rgb="FF000000"/>
        <rFont val="Arial"/>
        <charset val="134"/>
      </rPr>
      <t xml:space="preserve"> / </t>
    </r>
    <r>
      <rPr>
        <sz val="12"/>
        <color rgb="FF000000"/>
        <rFont val="宋体"/>
        <charset val="134"/>
      </rPr>
      <t>总出入库记录数）</t>
    </r>
    <r>
      <rPr>
        <sz val="12"/>
        <color rgb="FF000000"/>
        <rFont val="Arial"/>
        <charset val="134"/>
      </rPr>
      <t>× 100%</t>
    </r>
  </si>
  <si>
    <t>服务知识</t>
  </si>
  <si>
    <t>新增知识条目</t>
  </si>
  <si>
    <t>≥10条</t>
  </si>
  <si>
    <t>统计知识库中新增知识条目</t>
  </si>
  <si>
    <t>最终软件库</t>
  </si>
  <si>
    <t>软件合规性审计次数</t>
  </si>
  <si>
    <t>数量，软件库审计报告数量</t>
  </si>
  <si>
    <t>服务数据</t>
  </si>
  <si>
    <t>服务数据分析利用次数</t>
  </si>
  <si>
    <t>数量，服务数据分析使用报告数</t>
  </si>
  <si>
    <t>交付</t>
  </si>
  <si>
    <t>项目及时交付率</t>
  </si>
  <si>
    <t>按时交付的项目数/运维项目总数*100%</t>
  </si>
  <si>
    <t>应急</t>
  </si>
  <si>
    <t>项目应急演练次数</t>
  </si>
  <si>
    <t>数量，应急演练报告数量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</si>
</sst>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</font>
    <font>
      <b/>
      <sz val="14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2"/>
      <color rgb="FF000000"/>
      <name val="Arial"/>
      <charset val="134"/>
    </font>
    <font>
      <sz val="12"/>
      <color rgb="FF00000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4" fillId="0" borderId="0">
      <alignment vertical="center"/>
    </xf>
    <xf numFmtId="43" fontId="5" fillId="0" borderId="0" applyFont="0" applyFill="0" applyBorder="0" applyProtection="0"/>
    <xf numFmtId="44" fontId="5" fillId="0" borderId="0" applyFont="0" applyFill="0" applyBorder="0" applyProtection="0"/>
    <xf numFmtId="9" fontId="5" fillId="0" borderId="0" applyFont="0" applyFill="0" applyBorder="0" applyProtection="0"/>
    <xf numFmtId="41" fontId="5" fillId="0" borderId="0" applyFont="0" applyFill="0" applyBorder="0" applyProtection="0"/>
    <xf numFmtId="42" fontId="5" fillId="0" borderId="0" applyFont="0" applyFill="0" applyBorder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5" fillId="6" borderId="8" applyNumberFormat="0" applyFont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0" borderId="9" applyNumberFormat="0" applyFill="0" applyProtection="0"/>
    <xf numFmtId="0" fontId="12" fillId="0" borderId="9" applyNumberFormat="0" applyFill="0" applyProtection="0"/>
    <xf numFmtId="0" fontId="13" fillId="0" borderId="10" applyNumberFormat="0" applyFill="0" applyProtection="0"/>
    <xf numFmtId="0" fontId="13" fillId="0" borderId="0" applyNumberFormat="0" applyFill="0" applyBorder="0" applyProtection="0"/>
    <xf numFmtId="0" fontId="14" fillId="7" borderId="11" applyNumberFormat="0" applyProtection="0"/>
    <xf numFmtId="0" fontId="15" fillId="8" borderId="12" applyNumberFormat="0" applyProtection="0"/>
    <xf numFmtId="0" fontId="16" fillId="8" borderId="11" applyNumberFormat="0" applyProtection="0"/>
    <xf numFmtId="0" fontId="17" fillId="9" borderId="13" applyNumberFormat="0" applyProtection="0"/>
    <xf numFmtId="0" fontId="18" fillId="0" borderId="14" applyNumberFormat="0" applyFill="0" applyProtection="0"/>
    <xf numFmtId="0" fontId="19" fillId="0" borderId="15" applyNumberFormat="0" applyFill="0" applyProtection="0"/>
    <xf numFmtId="0" fontId="20" fillId="10" borderId="0" applyNumberFormat="0" applyBorder="0" applyProtection="0"/>
    <xf numFmtId="0" fontId="21" fillId="11" borderId="0" applyNumberFormat="0" applyBorder="0" applyProtection="0"/>
    <xf numFmtId="0" fontId="22" fillId="12" borderId="0" applyNumberFormat="0" applyBorder="0" applyProtection="0"/>
    <xf numFmtId="0" fontId="23" fillId="13" borderId="0" applyNumberFormat="0" applyBorder="0" applyProtection="0"/>
    <xf numFmtId="0" fontId="5" fillId="14" borderId="0" applyNumberFormat="0" applyBorder="0" applyProtection="0"/>
    <xf numFmtId="0" fontId="5" fillId="15" borderId="0" applyNumberFormat="0" applyBorder="0" applyProtection="0"/>
    <xf numFmtId="0" fontId="23" fillId="16" borderId="0" applyNumberFormat="0" applyBorder="0" applyProtection="0"/>
    <xf numFmtId="0" fontId="23" fillId="17" borderId="0" applyNumberFormat="0" applyBorder="0" applyProtection="0"/>
    <xf numFmtId="0" fontId="5" fillId="18" borderId="0" applyNumberFormat="0" applyBorder="0" applyProtection="0"/>
    <xf numFmtId="0" fontId="5" fillId="19" borderId="0" applyNumberFormat="0" applyBorder="0" applyProtection="0"/>
    <xf numFmtId="0" fontId="23" fillId="20" borderId="0" applyNumberFormat="0" applyBorder="0" applyProtection="0"/>
    <xf numFmtId="0" fontId="23" fillId="21" borderId="0" applyNumberFormat="0" applyBorder="0" applyProtection="0"/>
    <xf numFmtId="0" fontId="5" fillId="22" borderId="0" applyNumberFormat="0" applyBorder="0" applyProtection="0"/>
    <xf numFmtId="0" fontId="5" fillId="23" borderId="0" applyNumberFormat="0" applyBorder="0" applyProtection="0"/>
    <xf numFmtId="0" fontId="23" fillId="24" borderId="0" applyNumberFormat="0" applyBorder="0" applyProtection="0"/>
    <xf numFmtId="0" fontId="23" fillId="25" borderId="0" applyNumberFormat="0" applyBorder="0" applyProtection="0"/>
    <xf numFmtId="0" fontId="5" fillId="26" borderId="0" applyNumberFormat="0" applyBorder="0" applyProtection="0"/>
    <xf numFmtId="0" fontId="5" fillId="27" borderId="0" applyNumberFormat="0" applyBorder="0" applyProtection="0"/>
    <xf numFmtId="0" fontId="23" fillId="28" borderId="0" applyNumberFormat="0" applyBorder="0" applyProtection="0"/>
    <xf numFmtId="0" fontId="23" fillId="29" borderId="0" applyNumberFormat="0" applyBorder="0" applyProtection="0"/>
    <xf numFmtId="0" fontId="5" fillId="30" borderId="0" applyNumberFormat="0" applyBorder="0" applyProtection="0"/>
    <xf numFmtId="0" fontId="5" fillId="31" borderId="0" applyNumberFormat="0" applyBorder="0" applyProtection="0"/>
    <xf numFmtId="0" fontId="23" fillId="32" borderId="0" applyNumberFormat="0" applyBorder="0" applyProtection="0"/>
    <xf numFmtId="0" fontId="23" fillId="33" borderId="0" applyNumberFormat="0" applyBorder="0" applyProtection="0"/>
    <xf numFmtId="0" fontId="5" fillId="34" borderId="0" applyNumberFormat="0" applyBorder="0" applyProtection="0"/>
    <xf numFmtId="0" fontId="5" fillId="35" borderId="0" applyNumberFormat="0" applyBorder="0" applyProtection="0"/>
    <xf numFmtId="0" fontId="23" fillId="36" borderId="0" applyNumberFormat="0" applyBorder="0" applyProtection="0"/>
    <xf numFmtId="0" fontId="0" fillId="0" borderId="0">
      <alignment vertical="center"/>
    </xf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</cellStyleXfs>
  <cellXfs count="16">
    <xf numFmtId="0" fontId="0" fillId="0" borderId="0" xfId="49" applyAlignment="1">
      <alignment vertical="center"/>
    </xf>
    <xf numFmtId="0" fontId="0" fillId="0" borderId="0" xfId="49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0" fillId="3" borderId="1" xfId="49" applyFill="1" applyBorder="1" applyAlignment="1">
      <alignment horizontal="center" vertical="center"/>
    </xf>
    <xf numFmtId="0" fontId="2" fillId="4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 vertical="center" wrapText="1"/>
    </xf>
    <xf numFmtId="0" fontId="0" fillId="2" borderId="1" xfId="49" applyFill="1" applyBorder="1" applyAlignment="1">
      <alignment horizontal="center" vertical="center"/>
    </xf>
    <xf numFmtId="0" fontId="3" fillId="5" borderId="2" xfId="49" applyFont="1" applyFill="1" applyBorder="1" applyAlignment="1">
      <alignment horizontal="center" vertical="center" wrapText="1"/>
    </xf>
    <xf numFmtId="0" fontId="3" fillId="5" borderId="3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vertical="center" wrapText="1"/>
    </xf>
    <xf numFmtId="0" fontId="3" fillId="5" borderId="4" xfId="49" applyFont="1" applyFill="1" applyBorder="1" applyAlignment="1">
      <alignment horizontal="center" vertical="center" wrapText="1"/>
    </xf>
    <xf numFmtId="0" fontId="3" fillId="5" borderId="5" xfId="49" applyFont="1" applyFill="1" applyBorder="1" applyAlignment="1">
      <alignment horizontal="center" vertical="center" wrapText="1"/>
    </xf>
    <xf numFmtId="0" fontId="3" fillId="5" borderId="1" xfId="49" applyFont="1" applyFill="1" applyBorder="1" applyAlignment="1">
      <alignment horizontal="center" vertical="center" wrapText="1"/>
    </xf>
    <xf numFmtId="0" fontId="3" fillId="5" borderId="6" xfId="49" applyFont="1" applyFill="1" applyBorder="1" applyAlignment="1">
      <alignment horizontal="center" vertical="center" wrapText="1"/>
    </xf>
    <xf numFmtId="0" fontId="3" fillId="5" borderId="7" xfId="49" applyFont="1" applyFill="1" applyBorder="1" applyAlignment="1">
      <alignment horizontal="center" vertical="center" wrapText="1"/>
    </xf>
    <xf numFmtId="9" fontId="3" fillId="5" borderId="1" xfId="49" applyNumberFormat="1" applyFont="1" applyFill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69215</xdr:colOff>
      <xdr:row>3</xdr:row>
      <xdr:rowOff>34290</xdr:rowOff>
    </xdr:from>
    <xdr:to>
      <xdr:col>5</xdr:col>
      <xdr:colOff>2246630</xdr:colOff>
      <xdr:row>3</xdr:row>
      <xdr:rowOff>162560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93540" y="510540"/>
          <a:ext cx="2177415" cy="128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8"/>
  <sheetViews>
    <sheetView tabSelected="1" view="pageBreakPreview" zoomScale="130" zoomScaleNormal="100" workbookViewId="0">
      <selection activeCell="A1" sqref="A1:H2"/>
    </sheetView>
  </sheetViews>
  <sheetFormatPr defaultColWidth="9" defaultRowHeight="13.5" outlineLevelCol="7"/>
  <cols>
    <col min="1" max="1" width="9" style="1"/>
    <col min="2" max="2" width="4.75" customWidth="1"/>
    <col min="3" max="3" width="10.75" customWidth="1"/>
    <col min="4" max="4" width="21" customWidth="1"/>
    <col min="5" max="5" width="8.625" customWidth="1"/>
    <col min="6" max="6" width="64.625" customWidth="1"/>
    <col min="7" max="7" width="10.5" customWidth="1"/>
    <col min="8" max="8" width="17.5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ht="11" customHeight="1" spans="1:8">
      <c r="A2" s="2"/>
      <c r="B2" s="2"/>
      <c r="C2" s="2"/>
      <c r="D2" s="2"/>
      <c r="E2" s="2"/>
      <c r="F2" s="2"/>
      <c r="G2" s="2"/>
      <c r="H2" s="2"/>
    </row>
    <row r="3" ht="13" customHeight="1" spans="1:8">
      <c r="A3" s="3" t="s">
        <v>1</v>
      </c>
      <c r="B3" s="4" t="s">
        <v>2</v>
      </c>
      <c r="C3" s="4"/>
      <c r="D3" s="4" t="s">
        <v>3</v>
      </c>
      <c r="E3" s="4" t="s">
        <v>4</v>
      </c>
      <c r="F3" s="5" t="s">
        <v>5</v>
      </c>
      <c r="G3" s="4" t="s">
        <v>6</v>
      </c>
      <c r="H3" s="4" t="s">
        <v>7</v>
      </c>
    </row>
    <row r="4" spans="1:8">
      <c r="A4" s="6">
        <f>ROW()-3</f>
        <v>1</v>
      </c>
      <c r="B4" s="7" t="s">
        <v>8</v>
      </c>
      <c r="C4" s="8"/>
      <c r="D4" s="9" t="s">
        <v>9</v>
      </c>
      <c r="E4" s="9" t="s">
        <v>10</v>
      </c>
      <c r="F4" s="9"/>
      <c r="G4" s="9" t="s">
        <v>11</v>
      </c>
      <c r="H4" s="9" t="s">
        <v>12</v>
      </c>
    </row>
    <row r="5" spans="1:8">
      <c r="A5" s="6">
        <f>ROW()-3</f>
        <v>2</v>
      </c>
      <c r="B5" s="10"/>
      <c r="C5" s="11"/>
      <c r="D5" s="9" t="s">
        <v>13</v>
      </c>
      <c r="E5" s="9" t="s">
        <v>14</v>
      </c>
      <c r="F5" s="9" t="s">
        <v>15</v>
      </c>
      <c r="G5" s="9" t="s">
        <v>16</v>
      </c>
      <c r="H5" s="9" t="s">
        <v>12</v>
      </c>
    </row>
    <row r="6" spans="1:8">
      <c r="A6" s="6">
        <f>ROW()-3</f>
        <v>3</v>
      </c>
      <c r="B6" s="10"/>
      <c r="C6" s="11"/>
      <c r="D6" s="9" t="s">
        <v>17</v>
      </c>
      <c r="E6" s="9" t="s">
        <v>18</v>
      </c>
      <c r="F6" s="9" t="s">
        <v>19</v>
      </c>
      <c r="G6" s="9" t="s">
        <v>16</v>
      </c>
      <c r="H6" s="9" t="s">
        <v>12</v>
      </c>
    </row>
    <row r="7" spans="1:8">
      <c r="A7" s="6">
        <f>ROW()-3</f>
        <v>4</v>
      </c>
      <c r="B7" s="10"/>
      <c r="C7" s="11"/>
      <c r="D7" s="9" t="s">
        <v>20</v>
      </c>
      <c r="E7" s="9" t="s">
        <v>18</v>
      </c>
      <c r="F7" s="9" t="s">
        <v>21</v>
      </c>
      <c r="G7" s="9" t="s">
        <v>16</v>
      </c>
      <c r="H7" s="9" t="s">
        <v>22</v>
      </c>
    </row>
    <row r="8" spans="1:8">
      <c r="A8" s="6">
        <f t="shared" ref="A8:A14" si="0">ROW()-3</f>
        <v>5</v>
      </c>
      <c r="B8" s="12" t="s">
        <v>23</v>
      </c>
      <c r="C8" s="12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29</v>
      </c>
    </row>
    <row r="9" spans="1:8">
      <c r="A9" s="6">
        <f t="shared" si="0"/>
        <v>6</v>
      </c>
      <c r="B9" s="12"/>
      <c r="C9" s="12" t="s">
        <v>30</v>
      </c>
      <c r="D9" s="9" t="s">
        <v>31</v>
      </c>
      <c r="E9" s="9" t="s">
        <v>26</v>
      </c>
      <c r="F9" s="9" t="s">
        <v>32</v>
      </c>
      <c r="G9" s="9" t="s">
        <v>28</v>
      </c>
      <c r="H9" s="9" t="s">
        <v>29</v>
      </c>
    </row>
    <row r="10" spans="1:8">
      <c r="A10" s="6">
        <f t="shared" si="0"/>
        <v>7</v>
      </c>
      <c r="B10" s="12"/>
      <c r="C10" s="12" t="s">
        <v>33</v>
      </c>
      <c r="D10" s="9" t="s">
        <v>34</v>
      </c>
      <c r="E10" s="9" t="s">
        <v>26</v>
      </c>
      <c r="F10" s="9" t="s">
        <v>35</v>
      </c>
      <c r="G10" s="9" t="s">
        <v>28</v>
      </c>
      <c r="H10" s="9" t="s">
        <v>29</v>
      </c>
    </row>
    <row r="11" spans="1:8">
      <c r="A11" s="6">
        <f t="shared" si="0"/>
        <v>8</v>
      </c>
      <c r="B11" s="12"/>
      <c r="C11" s="12" t="s">
        <v>36</v>
      </c>
      <c r="D11" s="9" t="s">
        <v>37</v>
      </c>
      <c r="E11" s="9" t="s">
        <v>26</v>
      </c>
      <c r="F11" s="9" t="s">
        <v>38</v>
      </c>
      <c r="G11" s="9" t="s">
        <v>28</v>
      </c>
      <c r="H11" s="9" t="s">
        <v>29</v>
      </c>
    </row>
    <row r="12" spans="1:8">
      <c r="A12" s="6">
        <v>9</v>
      </c>
      <c r="B12" s="12"/>
      <c r="C12" s="12" t="s">
        <v>39</v>
      </c>
      <c r="D12" s="9" t="s">
        <v>40</v>
      </c>
      <c r="E12" s="9" t="s">
        <v>10</v>
      </c>
      <c r="F12" s="9" t="s">
        <v>41</v>
      </c>
      <c r="G12" s="9" t="s">
        <v>28</v>
      </c>
      <c r="H12" s="9" t="s">
        <v>29</v>
      </c>
    </row>
    <row r="13" spans="1:8">
      <c r="A13" s="6">
        <f>ROW()-3</f>
        <v>10</v>
      </c>
      <c r="B13" s="12"/>
      <c r="C13" s="12" t="s">
        <v>42</v>
      </c>
      <c r="D13" s="9" t="s">
        <v>43</v>
      </c>
      <c r="E13" s="9" t="s">
        <v>44</v>
      </c>
      <c r="F13" s="9" t="s">
        <v>45</v>
      </c>
      <c r="G13" s="9" t="s">
        <v>16</v>
      </c>
      <c r="H13" s="9" t="s">
        <v>29</v>
      </c>
    </row>
    <row r="14" spans="1:8">
      <c r="A14" s="6">
        <f>ROW()-3</f>
        <v>11</v>
      </c>
      <c r="B14" s="12" t="s">
        <v>46</v>
      </c>
      <c r="C14" s="12" t="s">
        <v>47</v>
      </c>
      <c r="D14" s="9" t="s">
        <v>48</v>
      </c>
      <c r="E14" s="9" t="s">
        <v>18</v>
      </c>
      <c r="F14" s="9" t="s">
        <v>49</v>
      </c>
      <c r="G14" s="9" t="s">
        <v>16</v>
      </c>
      <c r="H14" s="9" t="s">
        <v>22</v>
      </c>
    </row>
    <row r="15" spans="1:8">
      <c r="A15" s="6">
        <f t="shared" ref="A15:A24" si="1">ROW()-3</f>
        <v>12</v>
      </c>
      <c r="B15" s="12"/>
      <c r="C15" s="12" t="s">
        <v>50</v>
      </c>
      <c r="D15" s="9" t="s">
        <v>51</v>
      </c>
      <c r="E15" s="9" t="s">
        <v>10</v>
      </c>
      <c r="F15" s="9" t="s">
        <v>52</v>
      </c>
      <c r="G15" s="9" t="s">
        <v>28</v>
      </c>
      <c r="H15" s="9" t="s">
        <v>22</v>
      </c>
    </row>
    <row r="16" spans="1:8">
      <c r="A16" s="6">
        <f t="shared" si="1"/>
        <v>13</v>
      </c>
      <c r="B16" s="12"/>
      <c r="C16" s="12" t="s">
        <v>53</v>
      </c>
      <c r="D16" s="9" t="s">
        <v>54</v>
      </c>
      <c r="E16" s="9" t="s">
        <v>10</v>
      </c>
      <c r="F16" s="9" t="s">
        <v>55</v>
      </c>
      <c r="G16" s="9" t="s">
        <v>28</v>
      </c>
      <c r="H16" s="9" t="s">
        <v>22</v>
      </c>
    </row>
    <row r="17" spans="1:8">
      <c r="A17" s="6">
        <f t="shared" si="1"/>
        <v>14</v>
      </c>
      <c r="B17" s="12"/>
      <c r="C17" s="12" t="s">
        <v>56</v>
      </c>
      <c r="D17" s="9" t="s">
        <v>57</v>
      </c>
      <c r="E17" s="9" t="s">
        <v>10</v>
      </c>
      <c r="F17" s="9" t="s">
        <v>58</v>
      </c>
      <c r="G17" s="9" t="s">
        <v>59</v>
      </c>
      <c r="H17" s="9" t="s">
        <v>22</v>
      </c>
    </row>
    <row r="18" spans="1:8">
      <c r="A18" s="6">
        <f t="shared" si="1"/>
        <v>15</v>
      </c>
      <c r="B18" s="12"/>
      <c r="C18" s="12"/>
      <c r="D18" s="9" t="s">
        <v>60</v>
      </c>
      <c r="E18" s="9" t="s">
        <v>10</v>
      </c>
      <c r="F18" s="9" t="s">
        <v>61</v>
      </c>
      <c r="G18" s="9" t="s">
        <v>28</v>
      </c>
      <c r="H18" s="9" t="s">
        <v>22</v>
      </c>
    </row>
    <row r="19" spans="1:8">
      <c r="A19" s="6">
        <f t="shared" si="1"/>
        <v>16</v>
      </c>
      <c r="B19" s="12"/>
      <c r="C19" s="12" t="s">
        <v>62</v>
      </c>
      <c r="D19" s="9" t="s">
        <v>63</v>
      </c>
      <c r="E19" s="9" t="s">
        <v>10</v>
      </c>
      <c r="F19" s="9" t="s">
        <v>64</v>
      </c>
      <c r="G19" s="9" t="s">
        <v>28</v>
      </c>
      <c r="H19" s="9" t="s">
        <v>22</v>
      </c>
    </row>
    <row r="20" spans="1:8">
      <c r="A20" s="6">
        <f t="shared" si="1"/>
        <v>17</v>
      </c>
      <c r="B20" s="12"/>
      <c r="C20" s="12"/>
      <c r="D20" s="9" t="s">
        <v>65</v>
      </c>
      <c r="E20" s="9" t="s">
        <v>10</v>
      </c>
      <c r="F20" s="9" t="s">
        <v>66</v>
      </c>
      <c r="G20" s="9" t="s">
        <v>28</v>
      </c>
      <c r="H20" s="9" t="s">
        <v>22</v>
      </c>
    </row>
    <row r="21" spans="1:8">
      <c r="A21" s="6">
        <f t="shared" si="1"/>
        <v>18</v>
      </c>
      <c r="B21" s="12"/>
      <c r="C21" s="12" t="s">
        <v>67</v>
      </c>
      <c r="D21" s="9" t="s">
        <v>68</v>
      </c>
      <c r="E21" s="9" t="s">
        <v>26</v>
      </c>
      <c r="F21" s="9" t="s">
        <v>69</v>
      </c>
      <c r="G21" s="9" t="s">
        <v>70</v>
      </c>
      <c r="H21" s="9" t="s">
        <v>22</v>
      </c>
    </row>
    <row r="22" spans="1:8">
      <c r="A22" s="6">
        <f t="shared" si="1"/>
        <v>19</v>
      </c>
      <c r="B22" s="12"/>
      <c r="C22" s="12" t="s">
        <v>71</v>
      </c>
      <c r="D22" s="9" t="s">
        <v>72</v>
      </c>
      <c r="E22" s="9" t="s">
        <v>73</v>
      </c>
      <c r="F22" s="9" t="s">
        <v>74</v>
      </c>
      <c r="G22" s="9" t="s">
        <v>59</v>
      </c>
      <c r="H22" s="9" t="s">
        <v>22</v>
      </c>
    </row>
    <row r="23" spans="1:8">
      <c r="A23" s="6">
        <f t="shared" si="1"/>
        <v>20</v>
      </c>
      <c r="B23" s="12"/>
      <c r="C23" s="12" t="s">
        <v>75</v>
      </c>
      <c r="D23" s="9" t="s">
        <v>76</v>
      </c>
      <c r="E23" s="9" t="s">
        <v>73</v>
      </c>
      <c r="F23" s="9" t="s">
        <v>77</v>
      </c>
      <c r="G23" s="9" t="s">
        <v>59</v>
      </c>
      <c r="H23" s="9" t="s">
        <v>22</v>
      </c>
    </row>
    <row r="24" spans="1:8">
      <c r="A24" s="6">
        <f t="shared" si="1"/>
        <v>21</v>
      </c>
      <c r="B24" s="12"/>
      <c r="C24" s="12" t="s">
        <v>78</v>
      </c>
      <c r="D24" s="9" t="s">
        <v>79</v>
      </c>
      <c r="E24" s="9" t="s">
        <v>10</v>
      </c>
      <c r="F24" s="9" t="s">
        <v>80</v>
      </c>
      <c r="G24" s="9" t="s">
        <v>59</v>
      </c>
      <c r="H24" s="9" t="s">
        <v>22</v>
      </c>
    </row>
    <row r="25" spans="1:8">
      <c r="A25" s="6">
        <f t="shared" ref="A25:A36" si="2">ROW()-3</f>
        <v>22</v>
      </c>
      <c r="B25" s="12"/>
      <c r="C25" s="12"/>
      <c r="D25" s="9" t="s">
        <v>81</v>
      </c>
      <c r="E25" s="9" t="s">
        <v>82</v>
      </c>
      <c r="F25" s="9" t="s">
        <v>83</v>
      </c>
      <c r="G25" s="9" t="s">
        <v>59</v>
      </c>
      <c r="H25" s="9" t="s">
        <v>22</v>
      </c>
    </row>
    <row r="26" spans="1:8">
      <c r="A26" s="6">
        <f t="shared" si="2"/>
        <v>23</v>
      </c>
      <c r="B26" s="12"/>
      <c r="C26" s="12" t="s">
        <v>84</v>
      </c>
      <c r="D26" s="9" t="s">
        <v>85</v>
      </c>
      <c r="E26" s="9" t="s">
        <v>82</v>
      </c>
      <c r="F26" s="9" t="s">
        <v>86</v>
      </c>
      <c r="G26" s="9" t="s">
        <v>16</v>
      </c>
      <c r="H26" s="9" t="s">
        <v>22</v>
      </c>
    </row>
    <row r="27" spans="1:8">
      <c r="A27" s="6">
        <f t="shared" si="2"/>
        <v>24</v>
      </c>
      <c r="B27" s="12"/>
      <c r="C27" s="12" t="s">
        <v>87</v>
      </c>
      <c r="D27" s="9" t="s">
        <v>88</v>
      </c>
      <c r="E27" s="9" t="s">
        <v>82</v>
      </c>
      <c r="F27" s="9" t="s">
        <v>89</v>
      </c>
      <c r="G27" s="9" t="s">
        <v>16</v>
      </c>
      <c r="H27" s="9" t="s">
        <v>22</v>
      </c>
    </row>
    <row r="28" spans="1:8">
      <c r="A28" s="6">
        <f t="shared" si="2"/>
        <v>25</v>
      </c>
      <c r="B28" s="12" t="s">
        <v>90</v>
      </c>
      <c r="C28" s="12"/>
      <c r="D28" s="9" t="s">
        <v>91</v>
      </c>
      <c r="E28" s="9" t="s">
        <v>44</v>
      </c>
      <c r="F28" s="9" t="s">
        <v>92</v>
      </c>
      <c r="G28" s="9" t="s">
        <v>28</v>
      </c>
      <c r="H28" s="9" t="s">
        <v>93</v>
      </c>
    </row>
    <row r="29" spans="1:8">
      <c r="A29" s="6">
        <f t="shared" si="2"/>
        <v>26</v>
      </c>
      <c r="B29" s="12"/>
      <c r="C29" s="12"/>
      <c r="D29" s="9" t="s">
        <v>94</v>
      </c>
      <c r="E29" s="9" t="s">
        <v>95</v>
      </c>
      <c r="F29" s="9" t="s">
        <v>96</v>
      </c>
      <c r="G29" s="9" t="s">
        <v>16</v>
      </c>
      <c r="H29" s="9" t="s">
        <v>93</v>
      </c>
    </row>
    <row r="30" spans="1:8">
      <c r="A30" s="6">
        <f t="shared" si="2"/>
        <v>27</v>
      </c>
      <c r="B30" s="12" t="s">
        <v>97</v>
      </c>
      <c r="C30" s="12" t="s">
        <v>98</v>
      </c>
      <c r="D30" s="9" t="s">
        <v>99</v>
      </c>
      <c r="E30" s="9" t="s">
        <v>26</v>
      </c>
      <c r="F30" s="9" t="s">
        <v>100</v>
      </c>
      <c r="G30" s="9" t="s">
        <v>28</v>
      </c>
      <c r="H30" s="9" t="s">
        <v>22</v>
      </c>
    </row>
    <row r="31" spans="1:8">
      <c r="A31" s="6">
        <f t="shared" si="2"/>
        <v>28</v>
      </c>
      <c r="B31" s="12"/>
      <c r="C31" s="12" t="s">
        <v>101</v>
      </c>
      <c r="D31" s="9" t="s">
        <v>102</v>
      </c>
      <c r="E31" s="9" t="s">
        <v>10</v>
      </c>
      <c r="F31" s="9" t="s">
        <v>103</v>
      </c>
      <c r="G31" s="9" t="s">
        <v>28</v>
      </c>
      <c r="H31" s="9" t="s">
        <v>22</v>
      </c>
    </row>
    <row r="32" ht="15" spans="1:8">
      <c r="A32" s="6">
        <v>29</v>
      </c>
      <c r="B32" s="12"/>
      <c r="C32" s="13" t="s">
        <v>104</v>
      </c>
      <c r="D32" s="9" t="s">
        <v>105</v>
      </c>
      <c r="E32" s="9" t="s">
        <v>26</v>
      </c>
      <c r="F32" s="9" t="s">
        <v>106</v>
      </c>
      <c r="G32" s="9" t="s">
        <v>16</v>
      </c>
      <c r="H32" s="9" t="s">
        <v>22</v>
      </c>
    </row>
    <row r="33" ht="15" spans="1:8">
      <c r="A33" s="6">
        <v>30</v>
      </c>
      <c r="B33" s="12"/>
      <c r="C33" s="14"/>
      <c r="D33" s="9" t="s">
        <v>107</v>
      </c>
      <c r="E33" s="9" t="s">
        <v>73</v>
      </c>
      <c r="F33" s="9" t="s">
        <v>108</v>
      </c>
      <c r="G33" s="9" t="s">
        <v>28</v>
      </c>
      <c r="H33" s="9" t="s">
        <v>22</v>
      </c>
    </row>
    <row r="34" spans="1:8">
      <c r="A34" s="6">
        <f>ROW()-3</f>
        <v>31</v>
      </c>
      <c r="B34" s="12"/>
      <c r="C34" s="12" t="s">
        <v>109</v>
      </c>
      <c r="D34" s="9" t="s">
        <v>110</v>
      </c>
      <c r="E34" s="9" t="s">
        <v>111</v>
      </c>
      <c r="F34" s="9" t="s">
        <v>112</v>
      </c>
      <c r="G34" s="9" t="s">
        <v>28</v>
      </c>
      <c r="H34" s="9" t="s">
        <v>22</v>
      </c>
    </row>
    <row r="35" ht="16" customHeight="1" spans="1:8">
      <c r="A35" s="6">
        <f>ROW()-3</f>
        <v>32</v>
      </c>
      <c r="B35" s="12"/>
      <c r="C35" s="12" t="s">
        <v>113</v>
      </c>
      <c r="D35" s="9" t="s">
        <v>114</v>
      </c>
      <c r="E35" s="9" t="s">
        <v>18</v>
      </c>
      <c r="F35" s="9" t="s">
        <v>115</v>
      </c>
      <c r="G35" s="9" t="s">
        <v>70</v>
      </c>
      <c r="H35" s="9" t="s">
        <v>93</v>
      </c>
    </row>
    <row r="36" spans="1:8">
      <c r="A36" s="6">
        <f>ROW()-3</f>
        <v>33</v>
      </c>
      <c r="B36" s="12"/>
      <c r="C36" s="12" t="s">
        <v>116</v>
      </c>
      <c r="D36" s="9" t="s">
        <v>117</v>
      </c>
      <c r="E36" s="9" t="s">
        <v>18</v>
      </c>
      <c r="F36" s="9" t="s">
        <v>118</v>
      </c>
      <c r="G36" s="9" t="s">
        <v>28</v>
      </c>
      <c r="H36" s="9" t="s">
        <v>22</v>
      </c>
    </row>
    <row r="37" spans="1:8">
      <c r="A37" s="6">
        <f>ROW()-3</f>
        <v>34</v>
      </c>
      <c r="B37" s="12" t="s">
        <v>119</v>
      </c>
      <c r="C37" s="12"/>
      <c r="D37" s="9" t="s">
        <v>120</v>
      </c>
      <c r="E37" s="15">
        <v>1</v>
      </c>
      <c r="F37" s="9" t="s">
        <v>121</v>
      </c>
      <c r="G37" s="9" t="s">
        <v>16</v>
      </c>
      <c r="H37" s="9" t="s">
        <v>22</v>
      </c>
    </row>
    <row r="38" spans="1:8">
      <c r="A38" s="6">
        <f>ROW()-3</f>
        <v>35</v>
      </c>
      <c r="B38" s="12" t="s">
        <v>122</v>
      </c>
      <c r="C38" s="12"/>
      <c r="D38" s="9" t="s">
        <v>123</v>
      </c>
      <c r="E38" s="9" t="s">
        <v>18</v>
      </c>
      <c r="F38" s="9" t="s">
        <v>124</v>
      </c>
      <c r="G38" s="9" t="s">
        <v>16</v>
      </c>
      <c r="H38" s="9" t="s">
        <v>22</v>
      </c>
    </row>
  </sheetData>
  <mergeCells count="13">
    <mergeCell ref="B3:C3"/>
    <mergeCell ref="B37:C37"/>
    <mergeCell ref="B38:C38"/>
    <mergeCell ref="B8:B13"/>
    <mergeCell ref="B14:B27"/>
    <mergeCell ref="B30:B36"/>
    <mergeCell ref="C17:C18"/>
    <mergeCell ref="C19:C20"/>
    <mergeCell ref="C24:C25"/>
    <mergeCell ref="C32:C33"/>
    <mergeCell ref="A1:H2"/>
    <mergeCell ref="B28:C29"/>
    <mergeCell ref="B4:C7"/>
  </mergeCells>
  <pageMargins left="0.707638888888889" right="0.511805555555556" top="0.747916666666667" bottom="0.747916666666667" header="0.313888888888889" footer="0.313888888888889"/>
  <pageSetup paperSize="9" scale="92" fitToHeight="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2014-02-16T15:30:00Z</cp:lastPrinted>
  <dcterms:modified xsi:type="dcterms:W3CDTF">2026-08-01T15:19:09Z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